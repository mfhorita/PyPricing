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G:\Meu Drive\Projetos\PyPricing\pypricing\Models\BlackScholes\"/>
    </mc:Choice>
  </mc:AlternateContent>
  <xr:revisionPtr revIDLastSave="0" documentId="8_{001E97C9-D905-496B-A4E8-6D316EC048A1}" xr6:coauthVersionLast="47" xr6:coauthVersionMax="47" xr10:uidLastSave="{00000000-0000-0000-0000-000000000000}"/>
  <bookViews>
    <workbookView xWindow="-108" yWindow="-108" windowWidth="23256" windowHeight="13896" tabRatio="885" xr2:uid="{00000000-000D-0000-FFFF-FFFF00000000}"/>
  </bookViews>
  <sheets>
    <sheet name="Calculadora de Opções" sheetId="3" r:id="rId1"/>
    <sheet name="Estratégias de Opções" sheetId="11" r:id="rId2"/>
    <sheet name="Exercício de Opções" sheetId="10" r:id="rId3"/>
    <sheet name="Volatilidade Implícita" sheetId="7" r:id="rId4"/>
    <sheet name="Modelo Binomial" sheetId="12" r:id="rId5"/>
    <sheet name="Monte Carlo" sheetId="9" r:id="rId6"/>
    <sheet name="Feriados" sheetId="13" r:id="rId7"/>
  </sheets>
  <externalReferences>
    <externalReference r:id="rId8"/>
  </externalReferences>
  <definedNames>
    <definedName name="barreira">'Calculadora de Opções'!$D$16</definedName>
    <definedName name="Colchao1">[1]Controle!$AI$2</definedName>
    <definedName name="Colchao2">[1]Controle!$AK$2</definedName>
    <definedName name="estilo">'Calculadora de Opções'!$D$14</definedName>
    <definedName name="Feriados">Feriados!$A$2:$A$937</definedName>
    <definedName name="H">'Calculadora de Opções'!$D$17</definedName>
    <definedName name="i">'Calculadora de Opções'!$D$7</definedName>
    <definedName name="Mercado">[1]Mercado!#REF!</definedName>
    <definedName name="modelo">'Calculadora de Opções'!$D$19</definedName>
    <definedName name="n" localSheetId="5">'Monte Carlo'!$B$12</definedName>
    <definedName name="n">'Calculadora de Opções'!$D$18</definedName>
    <definedName name="nsim">'Monte Carlo'!$B$11</definedName>
    <definedName name="p">'Calculadora de Opções'!$D$8</definedName>
    <definedName name="premioBinomial">'Calculadora de Opções'!$D$20</definedName>
    <definedName name="premioBSchiles">'Calculadora de Opções'!$D$21</definedName>
    <definedName name="q" localSheetId="0">'Calculadora de Opções'!$D$13</definedName>
    <definedName name="q" localSheetId="5">'Calculadora de Opções'!$D$13</definedName>
    <definedName name="rf">'Monte Carlo'!$B$6</definedName>
    <definedName name="S" localSheetId="0">'Calculadora de Opções'!$D$5</definedName>
    <definedName name="S" localSheetId="5">'Monte Carlo'!$B$4</definedName>
    <definedName name="SalMinimo">[1]Reservas!$J$3</definedName>
    <definedName name="Siena">[1]Reservas!$I$11</definedName>
    <definedName name="T" localSheetId="0">'Calculadora de Opções'!$D$12</definedName>
    <definedName name="T" localSheetId="5">'Monte Carlo'!$B$8</definedName>
    <definedName name="TaxaCDI">[1]Reservas!$J$4</definedName>
    <definedName name="tipo" localSheetId="0">'Calculadora de Opções'!$D$15</definedName>
    <definedName name="tipo" localSheetId="5">'Calculadora de Opções'!$D$15</definedName>
    <definedName name="vol" localSheetId="0">'Calculadora de Opções'!$F$6</definedName>
    <definedName name="vol" localSheetId="5">'Monte Carlo'!$B$7</definedName>
    <definedName name="volImp">'Calculadora de Opções'!$F$15</definedName>
    <definedName name="X" localSheetId="0">'Calculadora de Opções'!$D$6</definedName>
    <definedName name="X" localSheetId="5">'Monte Carlo'!$B$5</definedName>
  </definedNames>
  <calcPr calcId="191029"/>
  <extLst>
    <ext xmlns:x14="http://schemas.microsoft.com/office/spreadsheetml/2009/9/main" uri="{8193D73E-4604-4355-AFF4-8A2333D13BE4}">
      <x14:definedNames>
        <x14:definedName name="py_gblackscholes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PyBlackScholes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PyGBlackScholes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3" l="1"/>
  <c r="E6" i="9"/>
  <c r="F6" i="9"/>
  <c r="K7" i="3" a="1"/>
  <c r="D21" i="3"/>
  <c r="D24" i="3"/>
  <c r="K13" i="3"/>
  <c r="K10" i="3"/>
  <c r="K11" i="3"/>
  <c r="K12" i="3"/>
  <c r="K8" i="3" a="1"/>
  <c r="K9" i="3"/>
  <c r="K7" i="3" l="1"/>
  <c r="K8" i="3"/>
  <c r="F24" i="3"/>
  <c r="I27" i="10"/>
  <c r="I28" i="10" s="1"/>
  <c r="I29" i="10" s="1"/>
  <c r="B12" i="12" l="1"/>
  <c r="B13" i="12" s="1"/>
  <c r="A26" i="12"/>
  <c r="B10" i="11"/>
  <c r="C10" i="11"/>
  <c r="D10" i="11"/>
  <c r="G3" i="11"/>
  <c r="H3" i="11" s="1"/>
  <c r="I3" i="11" s="1"/>
  <c r="J3" i="11" s="1"/>
  <c r="K3" i="11" s="1"/>
  <c r="L3" i="11" s="1"/>
  <c r="E9" i="11"/>
  <c r="D9" i="11"/>
  <c r="C9" i="11"/>
  <c r="B9" i="11"/>
  <c r="E8" i="11"/>
  <c r="D8" i="11"/>
  <c r="C8" i="11"/>
  <c r="B8" i="11"/>
  <c r="E7" i="11"/>
  <c r="D7" i="11"/>
  <c r="C7" i="11"/>
  <c r="B7" i="11"/>
  <c r="E6" i="11"/>
  <c r="D6" i="11"/>
  <c r="C6" i="11"/>
  <c r="B6" i="11"/>
  <c r="B1" i="11"/>
  <c r="K20" i="10"/>
  <c r="K19" i="10"/>
  <c r="K18" i="10"/>
  <c r="K9" i="10"/>
  <c r="K8" i="10"/>
  <c r="K7" i="10"/>
  <c r="K6" i="10"/>
  <c r="K5" i="10"/>
  <c r="D22" i="3"/>
  <c r="E29" i="10"/>
  <c r="J29" i="10" s="1"/>
  <c r="K29" i="10" s="1"/>
  <c r="E28" i="10"/>
  <c r="J28" i="10" s="1"/>
  <c r="K28" i="10" s="1"/>
  <c r="E27" i="10"/>
  <c r="J27" i="10" s="1"/>
  <c r="K27" i="10" s="1"/>
  <c r="E26" i="10"/>
  <c r="J26" i="10" s="1"/>
  <c r="K26" i="10" s="1"/>
  <c r="E24" i="10"/>
  <c r="J24" i="10" s="1"/>
  <c r="K24" i="10" s="1"/>
  <c r="E23" i="10"/>
  <c r="J23" i="10" s="1"/>
  <c r="K23" i="10" s="1"/>
  <c r="E22" i="10"/>
  <c r="J22" i="10" s="1"/>
  <c r="K22" i="10" s="1"/>
  <c r="I20" i="10"/>
  <c r="J20" i="10" s="1"/>
  <c r="H20" i="10"/>
  <c r="I19" i="10"/>
  <c r="J19" i="10" s="1"/>
  <c r="H19" i="10"/>
  <c r="I18" i="10"/>
  <c r="J18" i="10" s="1"/>
  <c r="H18" i="10"/>
  <c r="E12" i="10"/>
  <c r="J12" i="10" s="1"/>
  <c r="K12" i="10" s="1"/>
  <c r="E11" i="10"/>
  <c r="J11" i="10" s="1"/>
  <c r="K11" i="10" s="1"/>
  <c r="J9" i="10"/>
  <c r="I9" i="10"/>
  <c r="H9" i="10"/>
  <c r="J8" i="10"/>
  <c r="I8" i="10"/>
  <c r="H8" i="10"/>
  <c r="J7" i="10"/>
  <c r="I7" i="10"/>
  <c r="H7" i="10"/>
  <c r="J6" i="10"/>
  <c r="I6" i="10"/>
  <c r="H6" i="10"/>
  <c r="I5" i="10"/>
  <c r="J5" i="10" s="1"/>
  <c r="H5" i="10"/>
  <c r="F4" i="7"/>
  <c r="H4" i="7" s="1"/>
  <c r="G4" i="7"/>
  <c r="K4" i="7" s="1"/>
  <c r="O4" i="7"/>
  <c r="F7" i="7"/>
  <c r="H7" i="7" s="1"/>
  <c r="G7" i="7"/>
  <c r="K7" i="7" s="1"/>
  <c r="O7" i="7"/>
  <c r="F10" i="7"/>
  <c r="H10" i="7" s="1"/>
  <c r="G10" i="7"/>
  <c r="K10" i="7" s="1"/>
  <c r="O10" i="7"/>
  <c r="F13" i="7"/>
  <c r="H13" i="7" s="1"/>
  <c r="G13" i="7"/>
  <c r="K13" i="7" s="1"/>
  <c r="O13" i="7"/>
  <c r="G16" i="7"/>
  <c r="H16" i="7"/>
  <c r="L16" i="7"/>
  <c r="O16" i="7"/>
  <c r="S16" i="7" s="1"/>
  <c r="P16" i="7"/>
  <c r="T16" i="7"/>
  <c r="G19" i="7"/>
  <c r="K19" i="7" s="1"/>
  <c r="H19" i="7"/>
  <c r="L19" i="7"/>
  <c r="O19" i="7"/>
  <c r="P19" i="7"/>
  <c r="T19" i="7"/>
  <c r="G22" i="7"/>
  <c r="K22" i="7" s="1"/>
  <c r="N22" i="7" s="1"/>
  <c r="H22" i="7"/>
  <c r="I22" i="7" s="1"/>
  <c r="L22" i="7"/>
  <c r="O22" i="7"/>
  <c r="P22" i="7"/>
  <c r="T22" i="7"/>
  <c r="G25" i="7"/>
  <c r="H25" i="7"/>
  <c r="L25" i="7"/>
  <c r="O25" i="7"/>
  <c r="S25" i="7" s="1"/>
  <c r="P25" i="7"/>
  <c r="T25" i="7"/>
  <c r="G28" i="7"/>
  <c r="K28" i="7" s="1"/>
  <c r="H28" i="7"/>
  <c r="L28" i="7"/>
  <c r="O28" i="7"/>
  <c r="P28" i="7"/>
  <c r="T28" i="7"/>
  <c r="G9" i="3"/>
  <c r="G7" i="3"/>
  <c r="H8" i="3"/>
  <c r="G8" i="3"/>
  <c r="G12" i="3"/>
  <c r="D20" i="3"/>
  <c r="F15" i="3"/>
  <c r="K17" i="3"/>
  <c r="G19" i="3"/>
  <c r="G13" i="3"/>
  <c r="G16" i="3"/>
  <c r="G10" i="3"/>
  <c r="K16" i="3"/>
  <c r="G11" i="3"/>
  <c r="G22" i="3"/>
  <c r="G18" i="3"/>
  <c r="K19" i="3"/>
  <c r="K22" i="3"/>
  <c r="H16" i="3"/>
  <c r="K21" i="3"/>
  <c r="K18" i="3" a="1"/>
  <c r="J7" i="3" l="1"/>
  <c r="K18" i="3"/>
  <c r="E11" i="11"/>
  <c r="J11" i="3"/>
  <c r="J22" i="3"/>
  <c r="J16" i="3"/>
  <c r="J18" i="3"/>
  <c r="J19" i="3"/>
  <c r="J12" i="3"/>
  <c r="J13" i="3"/>
  <c r="J10" i="3"/>
  <c r="J8" i="3"/>
  <c r="J9" i="3"/>
  <c r="L4" i="7"/>
  <c r="M4" i="7" s="1"/>
  <c r="J16" i="7"/>
  <c r="P13" i="7"/>
  <c r="R13" i="7" s="1"/>
  <c r="P10" i="7"/>
  <c r="Q10" i="7" s="1"/>
  <c r="T4" i="7"/>
  <c r="R28" i="7"/>
  <c r="L7" i="7"/>
  <c r="P4" i="7"/>
  <c r="R4" i="7" s="1"/>
  <c r="I4" i="7"/>
  <c r="J4" i="7"/>
  <c r="M22" i="7"/>
  <c r="W22" i="7" s="1"/>
  <c r="M19" i="7"/>
  <c r="I16" i="7"/>
  <c r="T7" i="7"/>
  <c r="I7" i="7"/>
  <c r="I28" i="7"/>
  <c r="P7" i="7"/>
  <c r="Q7" i="7" s="1"/>
  <c r="B16" i="12"/>
  <c r="B14" i="12"/>
  <c r="B15" i="12" s="1"/>
  <c r="B28" i="12" s="1"/>
  <c r="C30" i="12" s="1"/>
  <c r="D32" i="12" s="1"/>
  <c r="E34" i="12" s="1"/>
  <c r="F36" i="12" s="1"/>
  <c r="G38" i="12" s="1"/>
  <c r="H40" i="12" s="1"/>
  <c r="I42" i="12" s="1"/>
  <c r="J44" i="12" s="1"/>
  <c r="K46" i="12" s="1"/>
  <c r="J6" i="11"/>
  <c r="G10" i="11"/>
  <c r="L10" i="11"/>
  <c r="J10" i="11"/>
  <c r="H10" i="11"/>
  <c r="F10" i="11"/>
  <c r="K10" i="11"/>
  <c r="I10" i="11"/>
  <c r="K8" i="11"/>
  <c r="K7" i="11"/>
  <c r="K9" i="11"/>
  <c r="K6" i="11"/>
  <c r="N7" i="7"/>
  <c r="M7" i="7"/>
  <c r="K25" i="7"/>
  <c r="V16" i="7"/>
  <c r="M28" i="7"/>
  <c r="J28" i="7"/>
  <c r="N28" i="7" s="1"/>
  <c r="Q22" i="7"/>
  <c r="J22" i="7"/>
  <c r="N19" i="7"/>
  <c r="J19" i="7"/>
  <c r="K16" i="7"/>
  <c r="J7" i="7"/>
  <c r="J9" i="11"/>
  <c r="J7" i="11"/>
  <c r="J8" i="11"/>
  <c r="G6" i="11"/>
  <c r="I6" i="11"/>
  <c r="L6" i="11"/>
  <c r="G7" i="11"/>
  <c r="I7" i="11"/>
  <c r="L7" i="11"/>
  <c r="G8" i="11"/>
  <c r="I8" i="11"/>
  <c r="L8" i="11"/>
  <c r="G9" i="11"/>
  <c r="I9" i="11"/>
  <c r="L9" i="11"/>
  <c r="F6" i="11"/>
  <c r="H6" i="11"/>
  <c r="F7" i="11"/>
  <c r="H7" i="11"/>
  <c r="F8" i="11"/>
  <c r="H8" i="11"/>
  <c r="F9" i="11"/>
  <c r="H9" i="11"/>
  <c r="Q28" i="7"/>
  <c r="J13" i="7"/>
  <c r="I13" i="7"/>
  <c r="J10" i="7"/>
  <c r="I10" i="7"/>
  <c r="U25" i="7"/>
  <c r="Q25" i="7" s="1"/>
  <c r="R19" i="7"/>
  <c r="I19" i="7"/>
  <c r="R16" i="7"/>
  <c r="T13" i="7"/>
  <c r="L13" i="7"/>
  <c r="T10" i="7"/>
  <c r="L10" i="7"/>
  <c r="R7" i="7"/>
  <c r="F10" i="9"/>
  <c r="E10" i="9"/>
  <c r="Q16" i="7"/>
  <c r="S10" i="7"/>
  <c r="R22" i="7"/>
  <c r="S19" i="7"/>
  <c r="U19" i="7" s="1"/>
  <c r="Q19" i="7"/>
  <c r="S7" i="7"/>
  <c r="S4" i="7"/>
  <c r="Q4" i="7"/>
  <c r="U16" i="7"/>
  <c r="V25" i="7"/>
  <c r="Q13" i="7"/>
  <c r="S22" i="7"/>
  <c r="S13" i="7"/>
  <c r="S28" i="7"/>
  <c r="H22" i="3"/>
  <c r="H13" i="3"/>
  <c r="H10" i="3"/>
  <c r="G17" i="3"/>
  <c r="H12" i="3"/>
  <c r="H9" i="3"/>
  <c r="H18" i="3"/>
  <c r="H21" i="3"/>
  <c r="H20" i="3"/>
  <c r="K20" i="3"/>
  <c r="G20" i="3"/>
  <c r="H19" i="3"/>
  <c r="H11" i="3"/>
  <c r="H7" i="3"/>
  <c r="H17" i="3"/>
  <c r="G21" i="3"/>
  <c r="J17" i="3" l="1"/>
  <c r="J21" i="3"/>
  <c r="W7" i="7"/>
  <c r="N4" i="7"/>
  <c r="W4" i="7" s="1"/>
  <c r="V10" i="7"/>
  <c r="J20" i="3"/>
  <c r="R10" i="7"/>
  <c r="W19" i="7"/>
  <c r="Y19" i="7" s="1"/>
  <c r="W28" i="7"/>
  <c r="Y28" i="7" s="1"/>
  <c r="L48" i="12"/>
  <c r="M50" i="12" s="1"/>
  <c r="M51" i="12" s="1"/>
  <c r="B24" i="12"/>
  <c r="B17" i="12"/>
  <c r="B18" i="12" s="1"/>
  <c r="U10" i="7"/>
  <c r="K11" i="11"/>
  <c r="N16" i="7"/>
  <c r="W16" i="7" s="1"/>
  <c r="Y16" i="7" s="1"/>
  <c r="M16" i="7"/>
  <c r="N25" i="7"/>
  <c r="M25" i="7"/>
  <c r="I25" i="7" s="1"/>
  <c r="H11" i="11"/>
  <c r="F11" i="11"/>
  <c r="G11" i="11"/>
  <c r="L11" i="11"/>
  <c r="I11" i="11"/>
  <c r="J11" i="11"/>
  <c r="N10" i="7"/>
  <c r="M10" i="7"/>
  <c r="N13" i="7"/>
  <c r="M13" i="7"/>
  <c r="X16" i="7"/>
  <c r="V19" i="7"/>
  <c r="X19" i="7" s="1"/>
  <c r="U7" i="7"/>
  <c r="V7" i="7"/>
  <c r="V4" i="7"/>
  <c r="U4" i="7"/>
  <c r="V13" i="7"/>
  <c r="U13" i="7"/>
  <c r="V28" i="7"/>
  <c r="X28" i="7" s="1"/>
  <c r="U28" i="7"/>
  <c r="U22" i="7"/>
  <c r="V22" i="7"/>
  <c r="R25" i="7"/>
  <c r="X25" i="7" s="1"/>
  <c r="W13" i="7" l="1"/>
  <c r="X10" i="7"/>
  <c r="W10" i="7"/>
  <c r="Y10" i="7" s="1"/>
  <c r="C26" i="12"/>
  <c r="D28" i="12" s="1"/>
  <c r="E30" i="12" s="1"/>
  <c r="F32" i="12" s="1"/>
  <c r="G34" i="12" s="1"/>
  <c r="H36" i="12" s="1"/>
  <c r="I38" i="12" s="1"/>
  <c r="J40" i="12" s="1"/>
  <c r="K42" i="12" s="1"/>
  <c r="C22" i="12"/>
  <c r="J25" i="7"/>
  <c r="W25" i="7" s="1"/>
  <c r="Y25" i="7" s="1"/>
  <c r="X4" i="7"/>
  <c r="Y4" i="7" s="1"/>
  <c r="X7" i="7"/>
  <c r="Y7" i="7" s="1"/>
  <c r="X22" i="7"/>
  <c r="Y22" i="7" s="1"/>
  <c r="X13" i="7"/>
  <c r="Y13" i="7" s="1"/>
  <c r="L44" i="12" l="1"/>
  <c r="M46" i="12" s="1"/>
  <c r="M47" i="12" s="1"/>
  <c r="L49" i="12" s="1"/>
  <c r="D24" i="12"/>
  <c r="E26" i="12" s="1"/>
  <c r="F28" i="12" s="1"/>
  <c r="G30" i="12" s="1"/>
  <c r="H32" i="12" s="1"/>
  <c r="I34" i="12" s="1"/>
  <c r="J36" i="12" s="1"/>
  <c r="K38" i="12" s="1"/>
  <c r="D20" i="12"/>
  <c r="L40" i="12" l="1"/>
  <c r="M42" i="12" s="1"/>
  <c r="M43" i="12" s="1"/>
  <c r="L45" i="12" s="1"/>
  <c r="K47" i="12" s="1"/>
  <c r="E18" i="12"/>
  <c r="E22" i="12"/>
  <c r="F24" i="12" s="1"/>
  <c r="G26" i="12" s="1"/>
  <c r="H28" i="12" s="1"/>
  <c r="I30" i="12" s="1"/>
  <c r="J32" i="12" s="1"/>
  <c r="K34" i="12" s="1"/>
  <c r="L36" i="12" l="1"/>
  <c r="M38" i="12" s="1"/>
  <c r="M39" i="12" s="1"/>
  <c r="L41" i="12" s="1"/>
  <c r="K43" i="12" s="1"/>
  <c r="J45" i="12" s="1"/>
  <c r="F16" i="12"/>
  <c r="F20" i="12"/>
  <c r="G22" i="12" s="1"/>
  <c r="H24" i="12" s="1"/>
  <c r="I26" i="12" s="1"/>
  <c r="J28" i="12" s="1"/>
  <c r="K30" i="12" s="1"/>
  <c r="L32" i="12" s="1"/>
  <c r="M34" i="12" s="1"/>
  <c r="M35" i="12" s="1"/>
  <c r="L37" i="12" s="1"/>
  <c r="K39" i="12" s="1"/>
  <c r="J41" i="12" s="1"/>
  <c r="I43" i="12" l="1"/>
  <c r="G18" i="12"/>
  <c r="H20" i="12" s="1"/>
  <c r="I22" i="12" s="1"/>
  <c r="J24" i="12" s="1"/>
  <c r="K26" i="12" s="1"/>
  <c r="G14" i="12"/>
  <c r="L28" i="12" l="1"/>
  <c r="M30" i="12" s="1"/>
  <c r="M31" i="12" s="1"/>
  <c r="L33" i="12" s="1"/>
  <c r="K35" i="12" s="1"/>
  <c r="J37" i="12" s="1"/>
  <c r="I39" i="12" s="1"/>
  <c r="H41" i="12" s="1"/>
  <c r="H12" i="12"/>
  <c r="H16" i="12"/>
  <c r="I18" i="12" s="1"/>
  <c r="J20" i="12" s="1"/>
  <c r="K22" i="12" s="1"/>
  <c r="L24" i="12" l="1"/>
  <c r="M26" i="12" s="1"/>
  <c r="M27" i="12" s="1"/>
  <c r="I14" i="12"/>
  <c r="J16" i="12" s="1"/>
  <c r="K18" i="12" s="1"/>
  <c r="I10" i="12"/>
  <c r="L29" i="12" l="1"/>
  <c r="K31" i="12" s="1"/>
  <c r="J33" i="12" s="1"/>
  <c r="I35" i="12" s="1"/>
  <c r="H37" i="12" s="1"/>
  <c r="G39" i="12" s="1"/>
  <c r="J8" i="12"/>
  <c r="J12" i="12"/>
  <c r="K14" i="12" s="1"/>
  <c r="L16" i="12" l="1"/>
  <c r="M18" i="12" s="1"/>
  <c r="M19" i="12" s="1"/>
  <c r="K10" i="12"/>
  <c r="K6" i="12"/>
  <c r="L12" i="12" l="1"/>
  <c r="M14" i="12" s="1"/>
  <c r="M15" i="12" s="1"/>
  <c r="L17" i="12" s="1"/>
  <c r="L8" i="12"/>
  <c r="L4" i="12"/>
  <c r="M10" i="12" l="1"/>
  <c r="M11" i="12" s="1"/>
  <c r="L13" i="12" s="1"/>
  <c r="K15" i="12" s="1"/>
  <c r="M2" i="12"/>
  <c r="M3" i="12" s="1"/>
  <c r="M6" i="12"/>
  <c r="M7" i="12" s="1"/>
  <c r="L9" i="12" s="1"/>
  <c r="K11" i="12" l="1"/>
  <c r="J13" i="12" s="1"/>
  <c r="L5" i="12"/>
  <c r="K7" i="12" s="1"/>
  <c r="L20" i="12"/>
  <c r="M22" i="12" s="1"/>
  <c r="M23" i="12" s="1"/>
  <c r="J9" i="12" l="1"/>
  <c r="I11" i="12" s="1"/>
  <c r="L25" i="12"/>
  <c r="K27" i="12" s="1"/>
  <c r="J29" i="12" s="1"/>
  <c r="I31" i="12" s="1"/>
  <c r="H33" i="12" s="1"/>
  <c r="G35" i="12" s="1"/>
  <c r="F37" i="12" s="1"/>
  <c r="L21" i="12"/>
  <c r="K23" i="12" l="1"/>
  <c r="J25" i="12" s="1"/>
  <c r="I27" i="12" s="1"/>
  <c r="H29" i="12" s="1"/>
  <c r="G31" i="12" s="1"/>
  <c r="F33" i="12" s="1"/>
  <c r="E35" i="12" s="1"/>
  <c r="K19" i="12"/>
  <c r="J21" i="12" l="1"/>
  <c r="I23" i="12" s="1"/>
  <c r="H25" i="12" s="1"/>
  <c r="G27" i="12" s="1"/>
  <c r="F29" i="12" s="1"/>
  <c r="E31" i="12" s="1"/>
  <c r="D33" i="12" s="1"/>
  <c r="J17" i="12"/>
  <c r="I19" i="12" l="1"/>
  <c r="H21" i="12" s="1"/>
  <c r="G23" i="12" s="1"/>
  <c r="F25" i="12" s="1"/>
  <c r="E27" i="12" s="1"/>
  <c r="D29" i="12" s="1"/>
  <c r="C31" i="12" s="1"/>
  <c r="I15" i="12"/>
  <c r="H17" i="12" l="1"/>
  <c r="G19" i="12" s="1"/>
  <c r="F21" i="12" s="1"/>
  <c r="E23" i="12" s="1"/>
  <c r="D25" i="12" s="1"/>
  <c r="C27" i="12" s="1"/>
  <c r="B29" i="12" s="1"/>
  <c r="H13" i="12"/>
  <c r="G15" i="12" l="1"/>
  <c r="F17" i="12" s="1"/>
  <c r="E19" i="12" s="1"/>
  <c r="D21" i="12" s="1"/>
  <c r="C23" i="12" s="1"/>
  <c r="B25" i="12" s="1"/>
  <c r="A27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Fabiano Delgado Horita</author>
    <author>Marcelo Horita</author>
    <author>mhorita</author>
  </authors>
  <commentList>
    <comment ref="F7" authorId="0" shapeId="0" xr:uid="{00000000-0006-0000-0000-000001000000}">
      <text>
        <r>
          <rPr>
            <sz val="9"/>
            <color indexed="12"/>
            <rFont val="Tahoma"/>
            <family val="2"/>
          </rPr>
          <t xml:space="preserve"> - Representa quantos porcentos sobe o prêmio da opção se o preço da ação subir $ 1,00;
</t>
        </r>
        <r>
          <rPr>
            <sz val="9"/>
            <color indexed="81"/>
            <rFont val="Tahoma"/>
            <family val="2"/>
          </rPr>
          <t xml:space="preserve"> - O Delta sempre fica entre 0 e 1 (0% e 100%) para CALLs, e entre 0 e -1 (0% e -100%) para PUTs;</t>
        </r>
        <r>
          <rPr>
            <sz val="9"/>
            <color indexed="12"/>
            <rFont val="Tahoma"/>
            <family val="2"/>
          </rPr>
          <t xml:space="preserve">
 - O Delta aproxima-se de 0% quando OTM, de 50% quando ATM e de 100% quando ITM. Isso explica o fato de uma opção OTM ter grande probabilidade virar pó;
</t>
        </r>
        <r>
          <rPr>
            <sz val="9"/>
            <color indexed="81"/>
            <rFont val="Tahoma"/>
            <family val="2"/>
          </rPr>
          <t xml:space="preserve"> - Vender Delta é o mesmo que vender um ativo cujo delta é positivo,  e.g. lançar uma opção de compra;</t>
        </r>
        <r>
          <rPr>
            <sz val="9"/>
            <color indexed="12"/>
            <rFont val="Tahoma"/>
            <family val="2"/>
          </rPr>
          <t xml:space="preserve">
 - Comprar Delta é o mesmo que comprar um ativo cujo delta é positivo,  e.g. comprar uma opção de compra.</t>
        </r>
      </text>
    </comment>
    <comment ref="F8" authorId="0" shapeId="0" xr:uid="{00000000-0006-0000-0000-000002000000}">
      <text>
        <r>
          <rPr>
            <sz val="9"/>
            <color indexed="12"/>
            <rFont val="Tahoma"/>
            <family val="2"/>
          </rPr>
          <t xml:space="preserve"> - Representa quantos porcentos sobe o Delta se o preço da ação se valorizar $ 1,00;
</t>
        </r>
        <r>
          <rPr>
            <sz val="9"/>
            <color indexed="81"/>
            <rFont val="Tahoma"/>
            <family val="2"/>
          </rPr>
          <t xml:space="preserve"> - O maior Gama ocorre próxima da opção ATM (quando o Delta está em torno de 50%), e tende a 0 para opções muito ITM ou OTM;</t>
        </r>
        <r>
          <rPr>
            <sz val="9"/>
            <color indexed="12"/>
            <rFont val="Tahoma"/>
            <family val="2"/>
          </rPr>
          <t xml:space="preserve">
 - Conforme a opção OTM chega ao vencimento, o Delta e o Gama ficam cada vez menor, aumentando assim a chance de a opção virar pó;
</t>
        </r>
        <r>
          <rPr>
            <sz val="9"/>
            <color indexed="81"/>
            <rFont val="Tahoma"/>
            <family val="2"/>
          </rPr>
          <t xml:space="preserve"> - O Gama de qualquer opção, não importa se é uma CALL ou um PUT, ela é sempre positiva.</t>
        </r>
      </text>
    </comment>
    <comment ref="F9" authorId="0" shapeId="0" xr:uid="{00000000-0006-0000-0000-000003000000}">
      <text>
        <r>
          <rPr>
            <sz val="9"/>
            <color indexed="12"/>
            <rFont val="Tahoma"/>
            <family val="2"/>
          </rPr>
          <t xml:space="preserve"> - Representa quantos centavos o prêmio da opção se desvaloriza a cada dia que passa;
</t>
        </r>
        <r>
          <rPr>
            <sz val="9"/>
            <color indexed="81"/>
            <rFont val="Tahoma"/>
            <family val="2"/>
          </rPr>
          <t xml:space="preserve"> - É importante confrontar o Theta com o prêmio. Um Theta de $ 0,01 por dia para uma opção de $ 0,04, representa uma desvalorização de 25% por dia;</t>
        </r>
        <r>
          <rPr>
            <sz val="9"/>
            <color indexed="12"/>
            <rFont val="Tahoma"/>
            <family val="2"/>
          </rPr>
          <t xml:space="preserve">
 - Como no mercado brasileiro só há liquidez para as opções próximas do vencimento, quase sempre estaremos lidando com Thetas muito negativos. Isso é bom para quem vende CALLs e ruim para quem compra CALLs;
</t>
        </r>
        <r>
          <rPr>
            <sz val="9"/>
            <color indexed="81"/>
            <rFont val="Tahoma"/>
            <family val="2"/>
          </rPr>
          <t xml:space="preserve"> - Os menores Thetas podem ser encontrados nas opções ITM cujo o grande valor intrínseco minimiza o Theta.</t>
        </r>
      </text>
    </comment>
    <comment ref="F10" authorId="0" shapeId="0" xr:uid="{00000000-0006-0000-0000-000004000000}">
      <text>
        <r>
          <rPr>
            <sz val="9"/>
            <color indexed="12"/>
            <rFont val="Tahoma"/>
            <family val="2"/>
          </rPr>
          <t xml:space="preserve"> - Representa quantos centavos o prêmio da opção sobe se a volatilidade aumentar 1%.</t>
        </r>
      </text>
    </comment>
    <comment ref="B11" authorId="1" shapeId="0" xr:uid="{00000000-0006-0000-0000-000005000000}">
      <text>
        <r>
          <rPr>
            <b/>
            <sz val="9"/>
            <color indexed="81"/>
            <rFont val="Segoe UI"/>
            <family val="2"/>
          </rPr>
          <t xml:space="preserve">Onshore: </t>
        </r>
        <r>
          <rPr>
            <sz val="9"/>
            <color indexed="81"/>
            <rFont val="Segoe UI"/>
            <family val="2"/>
          </rPr>
          <t>Pré Fixada (Modelo Exponencial)</t>
        </r>
        <r>
          <rPr>
            <b/>
            <sz val="9"/>
            <color indexed="81"/>
            <rFont val="Segoe UI"/>
            <family val="2"/>
          </rPr>
          <t xml:space="preserve">
Offshore: </t>
        </r>
        <r>
          <rPr>
            <sz val="9"/>
            <color indexed="81"/>
            <rFont val="Segoe UI"/>
            <family val="2"/>
          </rPr>
          <t xml:space="preserve">Libor (Modelo Linear)
</t>
        </r>
      </text>
    </comment>
    <comment ref="F11" authorId="0" shapeId="0" xr:uid="{00000000-0006-0000-0000-000006000000}">
      <text>
        <r>
          <rPr>
            <sz val="9"/>
            <color indexed="12"/>
            <rFont val="Tahoma"/>
            <family val="2"/>
          </rPr>
          <t xml:space="preserve"> - O Vomma é a relação entre a variação do preço da opção e a variação do Vega.</t>
        </r>
      </text>
    </comment>
    <comment ref="F12" authorId="0" shapeId="0" xr:uid="{00000000-0006-0000-0000-000007000000}">
      <text>
        <r>
          <rPr>
            <sz val="9"/>
            <color indexed="12"/>
            <rFont val="Tahoma"/>
            <family val="2"/>
          </rPr>
          <t xml:space="preserve"> - Representa quantos centavos o prêmio da opção sobe se a taxa de juro aumentar 1%.</t>
        </r>
      </text>
    </comment>
    <comment ref="F13" authorId="0" shapeId="0" xr:uid="{00000000-0006-0000-0000-000008000000}">
      <text>
        <r>
          <rPr>
            <sz val="9"/>
            <color indexed="12"/>
            <rFont val="Tahoma"/>
            <family val="2"/>
          </rPr>
          <t xml:space="preserve"> - Representa quantos centavos o prêmio da opção sobe se o dividendo aumentar 1%.</t>
        </r>
      </text>
    </comment>
    <comment ref="B16" authorId="2" shapeId="0" xr:uid="{00000000-0006-0000-0000-000009000000}">
      <text>
        <r>
          <rPr>
            <b/>
            <sz val="9"/>
            <color indexed="81"/>
            <rFont val="Tahoma"/>
            <family val="2"/>
          </rPr>
          <t>Tipos de Barreiras:</t>
        </r>
        <r>
          <rPr>
            <sz val="9"/>
            <color indexed="81"/>
            <rFont val="Tahoma"/>
            <family val="2"/>
          </rPr>
          <t xml:space="preserve">
 - </t>
        </r>
        <r>
          <rPr>
            <b/>
            <sz val="9"/>
            <color indexed="10"/>
            <rFont val="Tahoma"/>
            <family val="2"/>
          </rPr>
          <t>(1) Down and In</t>
        </r>
        <r>
          <rPr>
            <sz val="9"/>
            <color indexed="81"/>
            <rFont val="Tahoma"/>
            <family val="2"/>
          </rPr>
          <t xml:space="preserve">: A barreira está abaixo da cotação inicial do ativo objeto. A opção comecará a existir quando o preço do ativo objeto descer até a barreira;
 - </t>
        </r>
        <r>
          <rPr>
            <b/>
            <sz val="9"/>
            <color indexed="10"/>
            <rFont val="Tahoma"/>
            <family val="2"/>
          </rPr>
          <t>(2) Down and Out</t>
        </r>
        <r>
          <rPr>
            <sz val="9"/>
            <color indexed="81"/>
            <rFont val="Tahoma"/>
            <family val="2"/>
          </rPr>
          <t xml:space="preserve">: A barreira está abaixo da cotação inicial do ativo objeto. A opção deixará de existir quando o preço do ativo objeto descer até a barreira;
 - </t>
        </r>
        <r>
          <rPr>
            <b/>
            <sz val="9"/>
            <color indexed="10"/>
            <rFont val="Tahoma"/>
            <family val="2"/>
          </rPr>
          <t>(3) Up and In</t>
        </r>
        <r>
          <rPr>
            <sz val="9"/>
            <color indexed="81"/>
            <rFont val="Tahoma"/>
            <family val="2"/>
          </rPr>
          <t xml:space="preserve">: A barreira está acima da cotação inicial do ativo objeto. A opção comecará a existir quando o preço do ativo objeto subir até a barreira;
 - </t>
        </r>
        <r>
          <rPr>
            <b/>
            <sz val="9"/>
            <color indexed="10"/>
            <rFont val="Tahoma"/>
            <family val="2"/>
          </rPr>
          <t>(4) Up and Out</t>
        </r>
        <r>
          <rPr>
            <sz val="9"/>
            <color indexed="81"/>
            <rFont val="Tahoma"/>
            <family val="2"/>
          </rPr>
          <t>: A barreira está acima da cotação inicial do ativo objeto. A opção deixará a existir quando o preço do ativo objeto subir até a barreira.</t>
        </r>
      </text>
    </comment>
    <comment ref="B17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Nota: </t>
        </r>
        <r>
          <rPr>
            <sz val="9"/>
            <color indexed="81"/>
            <rFont val="Tahoma"/>
            <family val="2"/>
          </rPr>
          <t>Esta calculadora não cálcula o Prêmio de Rebate se este foi definido na operação.</t>
        </r>
      </text>
    </comment>
    <comment ref="B20" authorId="2" shapeId="0" xr:uid="{00000000-0006-0000-0000-00000B000000}">
      <text>
        <r>
          <rPr>
            <sz val="9"/>
            <color indexed="81"/>
            <rFont val="Tahoma"/>
            <family val="2"/>
          </rPr>
          <t>O modelo binomial é mais comumente utilizado para apreçar opções do tipo americana.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Horita</author>
  </authors>
  <commentList>
    <comment ref="Q3" authorId="0" shapeId="0" xr:uid="{00000000-0006-0000-0100-000001000000}">
      <text>
        <r>
          <rPr>
            <sz val="8"/>
            <color indexed="81"/>
            <rFont val="Tahoma"/>
            <family val="2"/>
          </rPr>
          <t xml:space="preserve">O mesmo que Bull Call Spread ou Vertical Spread.
</t>
        </r>
      </text>
    </comment>
    <comment ref="Q4" authorId="0" shapeId="0" xr:uid="{00000000-0006-0000-0100-000002000000}">
      <text>
        <r>
          <rPr>
            <sz val="8"/>
            <color indexed="81"/>
            <rFont val="Tahoma"/>
            <family val="2"/>
          </rPr>
          <t>O mesmo que Bear Call Spread.</t>
        </r>
      </text>
    </comment>
    <comment ref="Q7" authorId="0" shapeId="0" xr:uid="{00000000-0006-0000-0100-000003000000}">
      <text>
        <r>
          <rPr>
            <sz val="8"/>
            <color indexed="81"/>
            <rFont val="Tahoma"/>
            <family val="2"/>
          </rPr>
          <t>Também é considerada uma estratégia de compra de volatilidade.</t>
        </r>
      </text>
    </comment>
    <comment ref="Q8" authorId="0" shapeId="0" xr:uid="{00000000-0006-0000-0100-000004000000}">
      <text>
        <r>
          <rPr>
            <sz val="8"/>
            <color indexed="81"/>
            <rFont val="Tahoma"/>
            <family val="2"/>
          </rPr>
          <t>Tipo de operação em que se monta uma compra de volatilidade e se vende a quantidade de opções que estão sobrando em outras opções de strikes bem superiores.</t>
        </r>
      </text>
    </comment>
    <comment ref="Q9" authorId="0" shapeId="0" xr:uid="{00000000-0006-0000-0100-000005000000}">
      <text>
        <r>
          <rPr>
            <sz val="8"/>
            <color indexed="81"/>
            <rFont val="Tahoma"/>
            <family val="2"/>
          </rPr>
          <t>O mesmo que Butterfly Invertido. O butterfly é a combinação das estratégias de Call Spread (Trava de Alta e Trava de Baixa) com strikes diferentes.</t>
        </r>
      </text>
    </comment>
    <comment ref="Q10" authorId="0" shapeId="0" xr:uid="{00000000-0006-0000-0100-000006000000}">
      <text>
        <r>
          <rPr>
            <sz val="8"/>
            <color indexed="81"/>
            <rFont val="Tahoma"/>
            <family val="2"/>
          </rPr>
          <t>O mesmo que Condor Invertido.</t>
        </r>
      </text>
    </comment>
    <comment ref="Q11" authorId="0" shapeId="0" xr:uid="{00000000-0006-0000-0100-000007000000}">
      <text>
        <r>
          <rPr>
            <sz val="8"/>
            <color indexed="81"/>
            <rFont val="Tahoma"/>
            <family val="2"/>
          </rPr>
          <t>Esta estratégia tem por objetivo lucrar com o aumento da volatilidade do ativo-objeto, portanto trata-se de uma operação de compra de volatilidade com opções.</t>
        </r>
      </text>
    </comment>
    <comment ref="Q12" authorId="0" shapeId="0" xr:uid="{00000000-0006-0000-0100-000008000000}">
      <text>
        <r>
          <rPr>
            <sz val="8"/>
            <color indexed="81"/>
            <rFont val="Tahoma"/>
            <family val="2"/>
          </rPr>
          <t>É uma estratégia semelhante à compra de straddle, onde o investidor busca lucrar com o aumento da volatilidade do ativo-objeto.</t>
        </r>
      </text>
    </comment>
    <comment ref="Q13" authorId="0" shapeId="0" xr:uid="{00000000-0006-0000-0100-000009000000}">
      <text>
        <r>
          <rPr>
            <sz val="8"/>
            <color indexed="81"/>
            <rFont val="Tahoma"/>
            <family val="2"/>
          </rPr>
          <t>Também é considerada uma estratégia de venda de volatilidade.</t>
        </r>
      </text>
    </comment>
    <comment ref="Q14" authorId="0" shapeId="0" xr:uid="{00000000-0006-0000-0100-00000A000000}">
      <text>
        <r>
          <rPr>
            <sz val="8"/>
            <color indexed="81"/>
            <rFont val="Tahoma"/>
            <family val="2"/>
          </rPr>
          <t>Tipo especial de venda de volatilidade consistindo em uma compra a seco ITM e reversões em opções de strike superiores para pagar a compra.</t>
        </r>
      </text>
    </comment>
    <comment ref="Q15" authorId="0" shapeId="0" xr:uid="{00000000-0006-0000-0100-00000B000000}">
      <text>
        <r>
          <rPr>
            <sz val="8"/>
            <color indexed="81"/>
            <rFont val="Tahoma"/>
            <family val="2"/>
          </rPr>
          <t>O mesmo que Butterfly Normal.</t>
        </r>
      </text>
    </comment>
    <comment ref="Q16" authorId="0" shapeId="0" xr:uid="{00000000-0006-0000-0100-00000C000000}">
      <text>
        <r>
          <rPr>
            <sz val="8"/>
            <color indexed="81"/>
            <rFont val="Tahoma"/>
            <family val="2"/>
          </rPr>
          <t>O mesmo que Condor Normal.</t>
        </r>
      </text>
    </comment>
    <comment ref="Q17" authorId="0" shapeId="0" xr:uid="{00000000-0006-0000-0100-00000D000000}">
      <text>
        <r>
          <rPr>
            <sz val="8"/>
            <color indexed="81"/>
            <rFont val="Tahoma"/>
            <family val="2"/>
          </rPr>
          <t>A estratégia é indicada ao investidor que possui a expectativa de redução da volatilidade do ativo-objeto e, portanto ela é considerada uma operação de venda de volatilidade com opções.</t>
        </r>
      </text>
    </comment>
    <comment ref="Q18" authorId="0" shapeId="0" xr:uid="{00000000-0006-0000-0100-00000E000000}">
      <text>
        <r>
          <rPr>
            <sz val="8"/>
            <color indexed="81"/>
            <rFont val="Tahoma"/>
            <family val="2"/>
          </rPr>
          <t>O investidor, nesta estratégia, acredita que o preço do ativo-objeto terá pouca volatilidade e monta a operação com a venda de call e put de exercícios diferentes.</t>
        </r>
      </text>
    </comment>
    <comment ref="Q23" authorId="0" shapeId="0" xr:uid="{00000000-0006-0000-0100-00000F000000}">
      <text>
        <r>
          <rPr>
            <sz val="8"/>
            <color indexed="81"/>
            <rFont val="Tahoma"/>
            <family val="2"/>
          </rPr>
          <t xml:space="preserve">O mesmo que uma operação de venda  coberta de uma opção de compra.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Fabiano Delgado Horita</author>
    <author>mhorita</author>
  </authors>
  <commentList>
    <comment ref="B2" authorId="0" shapeId="0" xr:uid="{00000000-0006-0000-0200-000001000000}">
      <text>
        <r>
          <rPr>
            <sz val="9"/>
            <color indexed="12"/>
            <rFont val="Tahoma"/>
            <family val="2"/>
          </rPr>
          <t xml:space="preserve"> - Considerando que haja um vencimento de opções por mês, o melhor momento de vender um CALL é exatamente um mês antes do vencimento. Assim, estaremos sempre vendidos em opções que decaem rapidamente;
</t>
        </r>
        <r>
          <rPr>
            <sz val="9"/>
            <color indexed="81"/>
            <rFont val="Tahoma"/>
            <family val="2"/>
          </rPr>
          <t xml:space="preserve"> - O interessante da venda de CALL é que o Theta é sempre positivo. Aconteça o que for, o tempo está sempre a nosso favor. Por isso mesmo deve-se pensar muito antes de desfazer a operação antecipadamente. Quase nunca é vantajoso;
</t>
        </r>
        <r>
          <rPr>
            <sz val="9"/>
            <color indexed="12"/>
            <rFont val="Tahoma"/>
            <family val="2"/>
          </rPr>
          <t xml:space="preserve"> - A vantagem de vender uma CALL OTM é que se o mercado subir e formos exercidos, receberemos mais pela ação do que pagamos originalmente, e a lucratividade será maior.</t>
        </r>
      </text>
    </comment>
    <comment ref="C4" authorId="0" shapeId="0" xr:uid="{00000000-0006-0000-0200-000002000000}">
      <text>
        <r>
          <rPr>
            <b/>
            <sz val="8"/>
            <color indexed="81"/>
            <rFont val="Terminal"/>
            <family val="3"/>
            <charset val="255"/>
          </rPr>
          <t>A = Americana
E = Européia</t>
        </r>
      </text>
    </comment>
    <comment ref="I4" authorId="1" shapeId="0" xr:uid="{00000000-0006-0000-0200-000003000000}">
      <text>
        <r>
          <rPr>
            <sz val="9"/>
            <color indexed="81"/>
            <rFont val="Tahoma"/>
            <family val="2"/>
          </rPr>
          <t>Somente quando a opção for ITM elá posuirá valor intrínseco.</t>
        </r>
      </text>
    </comment>
    <comment ref="C10" authorId="0" shapeId="0" xr:uid="{00000000-0006-0000-0200-000004000000}">
      <text>
        <r>
          <rPr>
            <b/>
            <sz val="8"/>
            <color indexed="81"/>
            <rFont val="Terminal"/>
            <family val="3"/>
            <charset val="255"/>
          </rPr>
          <t>A = Americana
E = Européia</t>
        </r>
      </text>
    </comment>
    <comment ref="B11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Volatilidade implícita: 41,54%</t>
        </r>
      </text>
    </comment>
    <comment ref="B12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>Volatilidade implícita: 37,56%</t>
        </r>
      </text>
    </comment>
    <comment ref="B15" authorId="0" shapeId="0" xr:uid="{00000000-0006-0000-0200-000007000000}">
      <text>
        <r>
          <rPr>
            <sz val="9"/>
            <color indexed="12"/>
            <rFont val="Tahoma"/>
            <family val="2"/>
          </rPr>
          <t xml:space="preserve"> - Compra de CALL: Uma opção verdadeiramente "barata", boa para compra especulativa, é a que tem baixa volatilidade implícita. É aí que as opções muito OTM falham, pois elas costumam ter alta volatilidade implícita;</t>
        </r>
        <r>
          <rPr>
            <sz val="9"/>
            <color indexed="81"/>
            <rFont val="Tahoma"/>
            <family val="2"/>
          </rPr>
          <t xml:space="preserve">
 - Operações de compra de CALL devem sempre ser liquidadas logo, pois opções desvalorizam pela passagem do tempo, cada vez rapidamente;
</t>
        </r>
        <r>
          <rPr>
            <sz val="9"/>
            <color indexed="12"/>
            <rFont val="Tahoma"/>
            <family val="2"/>
          </rPr>
          <t xml:space="preserve"> - Embora as opções DITM e LEAPS possuírem potencial de valorização baixa, também seu potencial de desvalorização é bem ameno, e o tempo a corrói mais lentamente.</t>
        </r>
        <r>
          <rPr>
            <sz val="8"/>
            <color indexed="12"/>
            <rFont val="Tahoma"/>
            <family val="2"/>
          </rPr>
          <t xml:space="preserve">
</t>
        </r>
      </text>
    </comment>
    <comment ref="C17" authorId="0" shapeId="0" xr:uid="{00000000-0006-0000-0200-000008000000}">
      <text>
        <r>
          <rPr>
            <b/>
            <sz val="8"/>
            <color indexed="81"/>
            <rFont val="Terminal"/>
            <family val="3"/>
            <charset val="255"/>
          </rPr>
          <t>A = Americana
E = Européia</t>
        </r>
      </text>
    </comment>
    <comment ref="I17" authorId="1" shapeId="0" xr:uid="{00000000-0006-0000-0200-000009000000}">
      <text>
        <r>
          <rPr>
            <sz val="9"/>
            <color indexed="81"/>
            <rFont val="Tahoma"/>
            <family val="2"/>
          </rPr>
          <t>Somente quando a opção for ITM elá posuirá valor intrínseco.</t>
        </r>
      </text>
    </comment>
    <comment ref="C21" authorId="0" shapeId="0" xr:uid="{00000000-0006-0000-0200-00000A000000}">
      <text>
        <r>
          <rPr>
            <b/>
            <sz val="8"/>
            <color indexed="81"/>
            <rFont val="Terminal"/>
            <family val="3"/>
            <charset val="255"/>
          </rPr>
          <t>A = Americana
E = Européia</t>
        </r>
      </text>
    </comment>
    <comment ref="C25" authorId="0" shapeId="0" xr:uid="{00000000-0006-0000-0200-00000B000000}">
      <text>
        <r>
          <rPr>
            <b/>
            <sz val="8"/>
            <color indexed="81"/>
            <rFont val="Terminal"/>
            <family val="3"/>
            <charset val="255"/>
          </rPr>
          <t>A = Americana
E = Européia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<sst xmlns="http://schemas.openxmlformats.org/spreadsheetml/2006/main" count="2410" uniqueCount="260">
  <si>
    <t>Parâmetros</t>
  </si>
  <si>
    <t>Strike</t>
  </si>
  <si>
    <t>Call</t>
  </si>
  <si>
    <t>Delta</t>
  </si>
  <si>
    <t>Gama</t>
  </si>
  <si>
    <t>Vega</t>
  </si>
  <si>
    <t>Theta</t>
  </si>
  <si>
    <t>Prazos</t>
  </si>
  <si>
    <t>Strikes</t>
  </si>
  <si>
    <t>Vols</t>
  </si>
  <si>
    <t>Simulação de Cálculo de Volatilidade Implícita - Opção de Dólar Comercial (Data Base: 24.09.2007)</t>
  </si>
  <si>
    <t>Entrada</t>
  </si>
  <si>
    <t>Prazo Anterior</t>
  </si>
  <si>
    <t>Prazo Posteior</t>
  </si>
  <si>
    <t>Volatilidade Ímplicita</t>
  </si>
  <si>
    <t>Prazo</t>
  </si>
  <si>
    <t>VolAnt</t>
  </si>
  <si>
    <t>StrAnt</t>
  </si>
  <si>
    <t>VolPos</t>
  </si>
  <si>
    <t>StrPos</t>
  </si>
  <si>
    <t>Mín.</t>
  </si>
  <si>
    <t>Máx.</t>
  </si>
  <si>
    <t>Vol.</t>
  </si>
  <si>
    <t>Rho</t>
  </si>
  <si>
    <t>Local (onshore / offshore)</t>
  </si>
  <si>
    <t>Preço do ativo (Spot)</t>
  </si>
  <si>
    <t>Preço de exercício (Strike)</t>
  </si>
  <si>
    <t>Data base (atual)</t>
  </si>
  <si>
    <t>Tipo da opção (call / put)</t>
  </si>
  <si>
    <t>Preço de uma Opção por Simulação de Monte-Carlo</t>
  </si>
  <si>
    <t>preço do ativo</t>
  </si>
  <si>
    <t>Resultados</t>
  </si>
  <si>
    <t>preço de exercício</t>
  </si>
  <si>
    <t>Put</t>
  </si>
  <si>
    <t>taxa de juros anual</t>
  </si>
  <si>
    <t>Black-Scholes</t>
  </si>
  <si>
    <t>volatilidade anual</t>
  </si>
  <si>
    <t>Monte-Carlo</t>
  </si>
  <si>
    <t>vencimento em anos</t>
  </si>
  <si>
    <t>IC inferior</t>
  </si>
  <si>
    <t>IC superior</t>
  </si>
  <si>
    <t>Simulação</t>
  </si>
  <si>
    <t>% erro</t>
  </si>
  <si>
    <t>no. Simulações</t>
  </si>
  <si>
    <t>pontos da trajetória</t>
  </si>
  <si>
    <t>Pronto</t>
  </si>
  <si>
    <t>Papel</t>
  </si>
  <si>
    <t>A/E</t>
  </si>
  <si>
    <t>Prêmio</t>
  </si>
  <si>
    <t>Exercício</t>
  </si>
  <si>
    <t>Spot</t>
  </si>
  <si>
    <t>Breakeven</t>
  </si>
  <si>
    <t>V.Intr.</t>
  </si>
  <si>
    <t>V.Extr.</t>
  </si>
  <si>
    <t>Status</t>
  </si>
  <si>
    <t>PETRE30</t>
  </si>
  <si>
    <t>A</t>
  </si>
  <si>
    <t>PETRE36</t>
  </si>
  <si>
    <t>PETRG38</t>
  </si>
  <si>
    <t>PETRF38</t>
  </si>
  <si>
    <t>PETRG40</t>
  </si>
  <si>
    <t>Total</t>
  </si>
  <si>
    <t>Qtde.</t>
  </si>
  <si>
    <t>Data</t>
  </si>
  <si>
    <t>Custos</t>
  </si>
  <si>
    <t>Saldo</t>
  </si>
  <si>
    <t>PETRE22</t>
  </si>
  <si>
    <t>PETRF22</t>
  </si>
  <si>
    <t>PETRD93</t>
  </si>
  <si>
    <t>E</t>
  </si>
  <si>
    <t>?</t>
  </si>
  <si>
    <t>Prazo em anos</t>
  </si>
  <si>
    <t>Data do exercício</t>
  </si>
  <si>
    <t>Estilo da opção (usa / eur)</t>
  </si>
  <si>
    <t>Rho2</t>
  </si>
  <si>
    <t>Iterações (qtde de passos)</t>
  </si>
  <si>
    <t>B-Scholes</t>
  </si>
  <si>
    <t>Binomial</t>
  </si>
  <si>
    <t>Valor de Barreira</t>
  </si>
  <si>
    <t>Volatilidade Fornecida (% ao ano)</t>
  </si>
  <si>
    <t>Volatilidade Implícita (% ao ano)</t>
  </si>
  <si>
    <t>Preço de mercado (atual)</t>
  </si>
  <si>
    <t>Gregas</t>
  </si>
  <si>
    <t>Vomma</t>
  </si>
  <si>
    <t>Modelos de Apreçamento</t>
  </si>
  <si>
    <t>Prêmio Modelo Binomial</t>
  </si>
  <si>
    <t>Prêmio Gen. Black-Scholes</t>
  </si>
  <si>
    <t>Classificação Moneyness</t>
  </si>
  <si>
    <t>Tipo de Barreira (down / up)</t>
  </si>
  <si>
    <t>call</t>
  </si>
  <si>
    <t>EXERCÍCIO DE COMPRA DE CALL DITM</t>
  </si>
  <si>
    <t>EXERCÍCIO DE VENDA DE CALL OTM</t>
  </si>
  <si>
    <t>Lista de Estratégias</t>
  </si>
  <si>
    <t>X</t>
  </si>
  <si>
    <t>x</t>
  </si>
  <si>
    <t>Qtde</t>
  </si>
  <si>
    <t>Resultado no Exercício da Opção</t>
  </si>
  <si>
    <t>Faixa no Vencimento do Ativo Objeto =&gt;</t>
  </si>
  <si>
    <t>Produto</t>
  </si>
  <si>
    <t>Box de Quatro Pontas</t>
  </si>
  <si>
    <t>Box de Três Pontas</t>
  </si>
  <si>
    <t>Ativo-objeto</t>
  </si>
  <si>
    <t>Synthetic Long - Call</t>
  </si>
  <si>
    <t>Synthetic Long - Put</t>
  </si>
  <si>
    <t>Synthetic Short - Call</t>
  </si>
  <si>
    <t>Synthetic Short - Put</t>
  </si>
  <si>
    <t>Synthetic Short - Future</t>
  </si>
  <si>
    <t>Synthetic Long - Future</t>
  </si>
  <si>
    <t>Opção</t>
  </si>
  <si>
    <t>Tipo</t>
  </si>
  <si>
    <t>Trava de Alta (Debit Call Spread)</t>
  </si>
  <si>
    <t>Trava de Baixa (Credit Call Spread)</t>
  </si>
  <si>
    <t>-</t>
  </si>
  <si>
    <t>Futuro</t>
  </si>
  <si>
    <t>Ação</t>
  </si>
  <si>
    <t xml:space="preserve">Butterfly - Compra de Volatilidade </t>
  </si>
  <si>
    <t>Butterfly - Venda de Volatilidade</t>
  </si>
  <si>
    <t>Condor - Compra de Volatilidade</t>
  </si>
  <si>
    <t>Condor - Venda de Volatilidade</t>
  </si>
  <si>
    <t>Spread</t>
  </si>
  <si>
    <t>Sintéticos</t>
  </si>
  <si>
    <t>Box</t>
  </si>
  <si>
    <t>Compra
Volatilidade</t>
  </si>
  <si>
    <t>Call Ratio Backspread (Boi)</t>
  </si>
  <si>
    <t>Call Ratio Backspread (Boi - Venda Coberta)</t>
  </si>
  <si>
    <t>Call Ratio Spread (Vaca Revertida)</t>
  </si>
  <si>
    <t>Call Ratio Spread (Vaca)</t>
  </si>
  <si>
    <t>Venda
Volatilidade</t>
  </si>
  <si>
    <t>Straddle - Compra de Volatilidade</t>
  </si>
  <si>
    <t>Straddle - Venda de Volatilidade</t>
  </si>
  <si>
    <t>Strangle - Compra de Volatilidade</t>
  </si>
  <si>
    <t>Strangle - Venda de Volatilidade</t>
  </si>
  <si>
    <t>Calculadora de Opções</t>
  </si>
  <si>
    <t>1-p =</t>
  </si>
  <si>
    <t>p =</t>
  </si>
  <si>
    <r>
      <t>e</t>
    </r>
    <r>
      <rPr>
        <vertAlign val="superscript"/>
        <sz val="10"/>
        <rFont val="MS Sans Serif"/>
        <family val="2"/>
      </rPr>
      <t>-r.</t>
    </r>
    <r>
      <rPr>
        <vertAlign val="superscript"/>
        <sz val="10"/>
        <rFont val="Symbol"/>
        <family val="1"/>
        <charset val="2"/>
      </rPr>
      <t>D</t>
    </r>
    <r>
      <rPr>
        <vertAlign val="superscript"/>
        <sz val="10"/>
        <rFont val="MS Sans Serif"/>
        <family val="2"/>
      </rPr>
      <t>t</t>
    </r>
    <r>
      <rPr>
        <sz val="10"/>
        <rFont val="Arial"/>
        <family val="2"/>
      </rPr>
      <t xml:space="preserve">  =</t>
    </r>
  </si>
  <si>
    <t>d =</t>
  </si>
  <si>
    <t>u =</t>
  </si>
  <si>
    <r>
      <t>D</t>
    </r>
    <r>
      <rPr>
        <sz val="10"/>
        <rFont val="Arial"/>
        <family val="2"/>
      </rPr>
      <t>t =</t>
    </r>
  </si>
  <si>
    <t>T =</t>
  </si>
  <si>
    <t>r =</t>
  </si>
  <si>
    <t>Tipo =</t>
  </si>
  <si>
    <t>offshore</t>
  </si>
  <si>
    <t>S =</t>
  </si>
  <si>
    <t>X =</t>
  </si>
  <si>
    <t>Vol =</t>
  </si>
  <si>
    <t>n =</t>
  </si>
  <si>
    <t>Dividendos (ao ano)</t>
  </si>
  <si>
    <t>Taxa de Juros (ao ano)</t>
  </si>
  <si>
    <t>Modelo Hull
(Padrão)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</si>
  <si>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</si>
  <si>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</si>
  <si>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</si>
  <si>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</si>
  <si>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</si>
  <si>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</si>
  <si>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</si>
  <si>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</si>
  <si>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</si>
  <si>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</si>
  <si>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</si>
  <si>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</si>
  <si>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</si>
  <si>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</si>
  <si>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</si>
  <si>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Finados</t>
  </si>
  <si>
    <t>Proclamação da República</t>
  </si>
  <si>
    <t>Natal</t>
  </si>
  <si>
    <t>domingo</t>
  </si>
  <si>
    <t>quarta-feira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</si>
  <si>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</si>
  <si>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</si>
  <si>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</si>
  <si>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</si>
  <si>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</si>
  <si>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</si>
  <si>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</si>
  <si>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</si>
  <si>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</si>
  <si>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</si>
  <si>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</si>
  <si>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</si>
  <si>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</si>
  <si>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</si>
  <si>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</si>
  <si>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</si>
  <si>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</si>
  <si>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</si>
  <si>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</si>
  <si>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</si>
  <si>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</si>
  <si>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</si>
  <si>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</si>
  <si>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</si>
  <si>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</si>
  <si>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</si>
  <si>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</si>
  <si>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</si>
  <si>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</si>
  <si>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</si>
  <si>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</si>
  <si>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</si>
  <si>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</si>
  <si>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</si>
  <si>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</si>
  <si>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</si>
  <si>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</si>
  <si>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</si>
  <si>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</si>
  <si>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</si>
  <si>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</si>
  <si>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</si>
  <si>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</si>
  <si>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</si>
  <si>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</si>
  <si>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</si>
  <si>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</si>
  <si>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</si>
  <si>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</si>
  <si>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</si>
  <si>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</si>
  <si>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</si>
  <si>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</si>
  <si>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</si>
  <si>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</si>
  <si>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</t>
  </si>
  <si>
    <t>Nossa Sr.a Aparecida - Padroeira do BrasilNossa Sr.a Aparecida - Padroeira do Brasil</t>
  </si>
  <si>
    <t>Nossa Sr.a Aparecida - Padroeira do Brasil</t>
  </si>
  <si>
    <t>Fonte: ANBIMA</t>
  </si>
  <si>
    <t>Modelo Gblack&amp;Scholes: Usado para calcular o prêmio e as gregas das opções do tipo Call ou Put do estilo européia com ou sem barreira utilizando dos seguintes modelos de apreçamento: Black, Merton ou Black&amp;Schles.</t>
  </si>
  <si>
    <t>Para cálculo mais preciso de opções com pagamentos de dividentos dos tipos: americanas, européias ou bermuda deve utilizar de métodos de diferenças finitas (MDF). Este método não é tratado nesta calculadora.</t>
  </si>
  <si>
    <t>Modelo Binomial: Usado para calcular o prêmio e as gregas das opções do tipo Call ou Put do estilo americana. Possui três modelos: Hull, Wilmott com Probabilidade Fixa ou Wilmott com Probabilidade Variável.</t>
  </si>
  <si>
    <t>Opção de:</t>
  </si>
  <si>
    <t>Modelo</t>
  </si>
  <si>
    <t>Ativo Objeto</t>
  </si>
  <si>
    <t>Taxa de Juros</t>
  </si>
  <si>
    <t>q</t>
  </si>
  <si>
    <t>Futuros</t>
  </si>
  <si>
    <t>Ações Sem Dividendos</t>
  </si>
  <si>
    <t>Ações Com Dividendos</t>
  </si>
  <si>
    <t>ADRs Sem Dividendos</t>
  </si>
  <si>
    <t>Títulos Renda Fixa - Brasil (Bonds)</t>
  </si>
  <si>
    <t>Títulos Renda Fixa - EUA (Bonds)</t>
  </si>
  <si>
    <t>Moeda Estrangeira no Brasil</t>
  </si>
  <si>
    <t>Títulos Renda Fixa - EUA (Bonds) - IDI</t>
  </si>
  <si>
    <t>Títulos Renda Fixa - EUA (Bonds) - %DI</t>
  </si>
  <si>
    <t>Títulos Renda Fixa - EUA (Bonds) - IGPM</t>
  </si>
  <si>
    <t>Black</t>
  </si>
  <si>
    <t>Merton</t>
  </si>
  <si>
    <t>Moeda</t>
  </si>
  <si>
    <t>Futuro*</t>
  </si>
  <si>
    <t>Dividendos</t>
  </si>
  <si>
    <t>Cupom Limpo</t>
  </si>
  <si>
    <t>Libor / Pré fixada</t>
  </si>
  <si>
    <t>Pré fixada</t>
  </si>
  <si>
    <t>Libor</t>
  </si>
  <si>
    <t>* Futuro do título de renda fixa com vencimento no prazo da opção.</t>
  </si>
  <si>
    <t>europeia</t>
  </si>
  <si>
    <t>Python</t>
  </si>
  <si>
    <t xml:space="preserve">Função Python GBlackScholes =&gt;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</si>
</sst>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0.00000"/>
    <numFmt numFmtId="167" formatCode="0.0000"/>
    <numFmt numFmtId="168" formatCode="_(* #,##0_);_(* \(#,##0\);_(* &quot;-&quot;??_);_(@_)"/>
    <numFmt numFmtId="169" formatCode="_(* #,##0.0000_);_(* \(#,##0.0000\);_(* &quot;-&quot;??_);_(@_)"/>
    <numFmt numFmtId="170" formatCode="_([$€]* #,##0.00_);_([$€]* \(#,##0.00\);_([$€]* &quot;-&quot;??_);_(@_)"/>
    <numFmt numFmtId="171" formatCode="_(* #,##0.00000_);_(* \(#,##0.00000\);_(* &quot;-&quot;??_);_(@_)"/>
    <numFmt numFmtId="172" formatCode="0.0"/>
    <numFmt numFmtId="173" formatCode="0.0%"/>
    <numFmt numFmtId="174" formatCode="dd/mm/yy"/>
    <numFmt numFmtId="175" formatCode="0.0000000%"/>
    <numFmt numFmtId="176" formatCode="_(* #,##0.000000000_);_(* \(#,##0.000000000\);_(* &quot;-&quot;??_);_(@_)"/>
    <numFmt numFmtId="177" formatCode="0.000000000000"/>
    <numFmt numFmtId="178" formatCode="_(* #,##0.0_);_(* \(#,##0.0\);_(* &quot;-&quot;??_);_(@_)"/>
    <numFmt numFmtId="179" formatCode="_(* #,##0.00000000_);_(* \(#,##0.00000000\);_(* &quot;-&quot;??_);_(@_)"/>
    <numFmt numFmtId="180" formatCode="\T0"/>
    <numFmt numFmtId="181" formatCode="#,##0.00000"/>
    <numFmt numFmtId="182" formatCode="d/m/yyyy"/>
  </numFmts>
  <fonts count="9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i/>
      <sz val="18"/>
      <color indexed="10"/>
      <name val="Arial"/>
      <family val="2"/>
    </font>
    <font>
      <b/>
      <sz val="12"/>
      <color indexed="9"/>
      <name val="Arial"/>
      <family val="2"/>
    </font>
    <font>
      <b/>
      <sz val="11"/>
      <color indexed="9"/>
      <name val="Arial"/>
      <family val="2"/>
    </font>
    <font>
      <b/>
      <sz val="10"/>
      <color indexed="56"/>
      <name val="Arial"/>
      <family val="2"/>
    </font>
    <font>
      <b/>
      <sz val="10"/>
      <color indexed="18"/>
      <name val="Arial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b/>
      <sz val="9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i/>
      <sz val="10"/>
      <name val="Arial"/>
      <family val="2"/>
    </font>
    <font>
      <b/>
      <sz val="10"/>
      <color indexed="9"/>
      <name val="Arial"/>
      <family val="2"/>
    </font>
    <font>
      <b/>
      <i/>
      <sz val="10"/>
      <color indexed="10"/>
      <name val="Arial"/>
      <family val="2"/>
    </font>
    <font>
      <sz val="9"/>
      <color indexed="12"/>
      <name val="Tahoma"/>
      <family val="2"/>
    </font>
    <font>
      <sz val="9"/>
      <color indexed="81"/>
      <name val="Tahoma"/>
      <family val="2"/>
    </font>
    <font>
      <b/>
      <sz val="12"/>
      <color indexed="16"/>
      <name val="Arial"/>
      <family val="2"/>
    </font>
    <font>
      <b/>
      <sz val="12"/>
      <color indexed="53"/>
      <name val="Arial"/>
      <family val="2"/>
    </font>
    <font>
      <b/>
      <i/>
      <sz val="9"/>
      <name val="Arial"/>
      <family val="2"/>
    </font>
    <font>
      <sz val="10"/>
      <name val="Terminal"/>
      <family val="3"/>
      <charset val="255"/>
    </font>
    <font>
      <sz val="9"/>
      <name val="Arial"/>
      <family val="2"/>
    </font>
    <font>
      <sz val="9"/>
      <color indexed="10"/>
      <name val="Arial"/>
      <family val="2"/>
    </font>
    <font>
      <sz val="9"/>
      <color indexed="12"/>
      <name val="Arial"/>
      <family val="2"/>
    </font>
    <font>
      <sz val="9"/>
      <color indexed="10"/>
      <name val="Arial"/>
      <family val="2"/>
    </font>
    <font>
      <sz val="9"/>
      <color indexed="12"/>
      <name val="Arial"/>
      <family val="2"/>
    </font>
    <font>
      <sz val="9"/>
      <color indexed="8"/>
      <name val="Arial"/>
      <family val="2"/>
    </font>
    <font>
      <b/>
      <sz val="9"/>
      <color indexed="17"/>
      <name val="Arial"/>
      <family val="2"/>
    </font>
    <font>
      <sz val="10"/>
      <color indexed="10"/>
      <name val="Terminal"/>
      <family val="3"/>
      <charset val="255"/>
    </font>
    <font>
      <sz val="10"/>
      <color indexed="12"/>
      <name val="Terminal"/>
      <family val="3"/>
      <charset val="255"/>
    </font>
    <font>
      <b/>
      <sz val="9"/>
      <color indexed="12"/>
      <name val="Arial"/>
      <family val="2"/>
    </font>
    <font>
      <b/>
      <sz val="8"/>
      <color indexed="81"/>
      <name val="Terminal"/>
      <family val="3"/>
      <charset val="255"/>
    </font>
    <font>
      <b/>
      <sz val="8"/>
      <color indexed="81"/>
      <name val="Tahoma"/>
      <family val="2"/>
    </font>
    <font>
      <sz val="8"/>
      <color indexed="12"/>
      <name val="Tahoma"/>
      <family val="2"/>
    </font>
    <font>
      <b/>
      <i/>
      <sz val="9"/>
      <color indexed="9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10"/>
      <name val="Tahoma"/>
      <family val="2"/>
    </font>
    <font>
      <b/>
      <sz val="10"/>
      <color theme="3" tint="-0.249977111117893"/>
      <name val="Arial"/>
      <family val="2"/>
    </font>
    <font>
      <b/>
      <sz val="9"/>
      <color theme="3" tint="-0.249977111117893"/>
      <name val="Arial"/>
      <family val="2"/>
    </font>
    <font>
      <b/>
      <i/>
      <sz val="18"/>
      <color theme="5" tint="-0.499984740745262"/>
      <name val="Arial"/>
      <family val="2"/>
    </font>
    <font>
      <sz val="10"/>
      <color rgb="FF00000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i/>
      <sz val="8"/>
      <name val="Arial"/>
      <family val="2"/>
    </font>
    <font>
      <b/>
      <i/>
      <sz val="12"/>
      <color rgb="FFFF0000"/>
      <name val="Arial"/>
      <family val="2"/>
    </font>
    <font>
      <b/>
      <sz val="8"/>
      <color indexed="10"/>
      <name val="Arial"/>
      <family val="2"/>
    </font>
    <font>
      <b/>
      <sz val="8"/>
      <color indexed="12"/>
      <name val="Arial"/>
      <family val="2"/>
    </font>
    <font>
      <b/>
      <sz val="8"/>
      <name val="Arial"/>
      <family val="2"/>
    </font>
    <font>
      <b/>
      <sz val="8"/>
      <color theme="0" tint="-0.499984740745262"/>
      <name val="Arial"/>
      <family val="2"/>
    </font>
    <font>
      <b/>
      <sz val="8"/>
      <color theme="6" tint="-0.249977111117893"/>
      <name val="Arial"/>
      <family val="2"/>
    </font>
    <font>
      <sz val="10"/>
      <name val="MS Sans Serif"/>
      <family val="2"/>
    </font>
    <font>
      <sz val="10"/>
      <color indexed="10"/>
      <name val="MS Sans Serif"/>
      <family val="2"/>
    </font>
    <font>
      <vertAlign val="superscript"/>
      <sz val="10"/>
      <name val="MS Sans Serif"/>
      <family val="2"/>
    </font>
    <font>
      <vertAlign val="superscript"/>
      <sz val="10"/>
      <name val="Symbol"/>
      <family val="1"/>
      <charset val="2"/>
    </font>
    <font>
      <b/>
      <sz val="10"/>
      <name val="MS Sans Serif"/>
      <family val="2"/>
    </font>
    <font>
      <sz val="10"/>
      <name val="Symbol"/>
      <family val="1"/>
      <charset val="2"/>
    </font>
    <font>
      <b/>
      <sz val="10"/>
      <color indexed="16"/>
      <name val="MS Sans Serif"/>
      <family val="2"/>
    </font>
    <font>
      <b/>
      <sz val="10"/>
      <color indexed="10"/>
      <name val="MS Sans Serif"/>
      <family val="2"/>
    </font>
    <font>
      <b/>
      <sz val="8.5"/>
      <name val="MS Sans Serif"/>
      <family val="2"/>
    </font>
    <font>
      <sz val="11"/>
      <color indexed="8"/>
      <name val="Calibri"/>
      <family val="2"/>
      <charset val="1"/>
    </font>
    <font>
      <b/>
      <sz val="9"/>
      <color indexed="8"/>
      <name val="Arial"/>
      <family val="2"/>
      <charset val="1"/>
    </font>
    <font>
      <sz val="9"/>
      <color indexed="8"/>
      <name val="Arial"/>
      <family val="2"/>
      <charset val="1"/>
    </font>
    <font>
      <sz val="10"/>
      <name val="Arial"/>
      <family val="2"/>
      <charset val="1"/>
    </font>
    <font>
      <i/>
      <sz val="12"/>
      <color indexed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  <font>
      <b/>
      <i/>
      <sz val="9"/>
      <color rgb="FFC0000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10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53"/>
      </patternFill>
    </fill>
    <fill>
      <patternFill patternType="solid">
        <fgColor indexed="47"/>
        <bgColor indexed="4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44"/>
      </patternFill>
    </fill>
    <fill>
      <patternFill patternType="solid">
        <fgColor indexed="47"/>
        <bgColor indexed="34"/>
      </patternFill>
    </fill>
    <fill>
      <patternFill patternType="solid">
        <fgColor indexed="9"/>
        <bgColor indexed="15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/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6" tint="-0.24994659260841701"/>
      </left>
      <right/>
      <top style="medium">
        <color theme="6" tint="-0.24994659260841701"/>
      </top>
      <bottom style="medium">
        <color theme="6" tint="-0.24994659260841701"/>
      </bottom>
      <diagonal/>
    </border>
    <border>
      <left/>
      <right/>
      <top style="medium">
        <color theme="6" tint="-0.24994659260841701"/>
      </top>
      <bottom style="medium">
        <color theme="6" tint="-0.24994659260841701"/>
      </bottom>
      <diagonal/>
    </border>
    <border>
      <left/>
      <right style="medium">
        <color theme="6" tint="-0.24994659260841701"/>
      </right>
      <top style="medium">
        <color theme="6" tint="-0.24994659260841701"/>
      </top>
      <bottom style="medium">
        <color theme="6" tint="-0.2499465926084170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theme="6" tint="-0.24994659260841701"/>
      </left>
      <right/>
      <top/>
      <bottom/>
      <diagonal/>
    </border>
    <border>
      <left/>
      <right style="medium">
        <color theme="6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/>
      <bottom style="medium">
        <color indexed="23"/>
      </bottom>
      <diagonal/>
    </border>
    <border>
      <left/>
      <right style="medium">
        <color indexed="23"/>
      </right>
      <top/>
      <bottom style="medium">
        <color indexed="23"/>
      </bottom>
      <diagonal/>
    </border>
    <border>
      <left/>
      <right style="medium">
        <color indexed="55"/>
      </right>
      <top/>
      <bottom style="medium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8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3" fillId="20" borderId="0" applyNumberFormat="0" applyBorder="0" applyAlignment="0" applyProtection="0"/>
    <xf numFmtId="0" fontId="3" fillId="24" borderId="0" applyNumberFormat="0" applyBorder="0" applyAlignment="0" applyProtection="0"/>
    <xf numFmtId="0" fontId="4" fillId="21" borderId="0" applyNumberFormat="0" applyBorder="0" applyAlignment="0" applyProtection="0"/>
    <xf numFmtId="0" fontId="4" fillId="13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14" borderId="0" applyNumberFormat="0" applyBorder="0" applyAlignment="0" applyProtection="0"/>
    <xf numFmtId="0" fontId="3" fillId="25" borderId="0" applyNumberFormat="0" applyBorder="0" applyAlignment="0" applyProtection="0"/>
    <xf numFmtId="0" fontId="3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3" fillId="20" borderId="0" applyNumberFormat="0" applyBorder="0" applyAlignment="0" applyProtection="0"/>
    <xf numFmtId="0" fontId="3" fillId="27" borderId="0" applyNumberFormat="0" applyBorder="0" applyAlignment="0" applyProtection="0"/>
    <xf numFmtId="0" fontId="4" fillId="27" borderId="0" applyNumberFormat="0" applyBorder="0" applyAlignment="0" applyProtection="0"/>
    <xf numFmtId="0" fontId="5" fillId="3" borderId="0" applyNumberFormat="0" applyBorder="0" applyAlignment="0" applyProtection="0"/>
    <xf numFmtId="0" fontId="6" fillId="28" borderId="1" applyNumberFormat="0" applyAlignment="0" applyProtection="0"/>
    <xf numFmtId="0" fontId="12" fillId="29" borderId="2" applyNumberFormat="0" applyAlignment="0" applyProtection="0"/>
    <xf numFmtId="164" fontId="3" fillId="0" borderId="0" applyFont="0" applyFill="0" applyBorder="0" applyAlignment="0" applyProtection="0"/>
    <xf numFmtId="164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170" fontId="13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19" fillId="0" borderId="0" applyNumberFormat="0" applyFill="0" applyBorder="0" applyAlignment="0" applyProtection="0"/>
    <xf numFmtId="0" fontId="20" fillId="7" borderId="1" applyNumberFormat="0" applyAlignment="0" applyProtection="0"/>
    <xf numFmtId="0" fontId="21" fillId="0" borderId="3" applyNumberFormat="0" applyFill="0" applyAlignment="0" applyProtection="0"/>
    <xf numFmtId="0" fontId="22" fillId="33" borderId="0" applyNumberFormat="0" applyBorder="0" applyAlignment="0" applyProtection="0"/>
    <xf numFmtId="0" fontId="13" fillId="0" borderId="0"/>
    <xf numFmtId="0" fontId="1" fillId="0" borderId="0"/>
    <xf numFmtId="0" fontId="3" fillId="34" borderId="7" applyNumberFormat="0" applyFont="0" applyAlignment="0" applyProtection="0"/>
    <xf numFmtId="0" fontId="23" fillId="28" borderId="8" applyNumberFormat="0" applyAlignment="0" applyProtection="0"/>
    <xf numFmtId="9" fontId="1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9" applyNumberFormat="0" applyFill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71" fillId="0" borderId="0"/>
    <xf numFmtId="9" fontId="71" fillId="0" borderId="0" applyFont="0" applyFill="0" applyBorder="0" applyAlignment="0" applyProtection="0"/>
    <xf numFmtId="0" fontId="80" fillId="0" borderId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99">
    <xf numFmtId="0" fontId="0" fillId="0" borderId="0" xfId="0"/>
    <xf numFmtId="0" fontId="7" fillId="0" borderId="0" xfId="0" applyFont="1"/>
    <xf numFmtId="169" fontId="1" fillId="0" borderId="0" xfId="69" applyNumberFormat="1"/>
    <xf numFmtId="0" fontId="0" fillId="0" borderId="0" xfId="0" applyAlignment="1">
      <alignment horizontal="center"/>
    </xf>
    <xf numFmtId="169" fontId="1" fillId="0" borderId="0" xfId="69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0" fillId="0" borderId="0" xfId="0" applyNumberFormat="1"/>
    <xf numFmtId="0" fontId="2" fillId="0" borderId="14" xfId="0" applyFont="1" applyBorder="1" applyAlignment="1">
      <alignment horizontal="center"/>
    </xf>
    <xf numFmtId="0" fontId="2" fillId="35" borderId="13" xfId="0" applyFont="1" applyFill="1" applyBorder="1" applyAlignment="1">
      <alignment horizontal="center" vertical="center"/>
    </xf>
    <xf numFmtId="0" fontId="2" fillId="35" borderId="13" xfId="0" applyFont="1" applyFill="1" applyBorder="1" applyAlignment="1">
      <alignment horizontal="center"/>
    </xf>
    <xf numFmtId="0" fontId="29" fillId="0" borderId="1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30" fillId="36" borderId="13" xfId="0" applyFont="1" applyFill="1" applyBorder="1" applyAlignment="1">
      <alignment horizontal="center"/>
    </xf>
    <xf numFmtId="0" fontId="31" fillId="0" borderId="15" xfId="0" applyFont="1" applyBorder="1" applyAlignment="1">
      <alignment horizontal="center"/>
    </xf>
    <xf numFmtId="2" fontId="31" fillId="0" borderId="16" xfId="0" applyNumberFormat="1" applyFont="1" applyBorder="1" applyAlignment="1">
      <alignment horizontal="right"/>
    </xf>
    <xf numFmtId="0" fontId="31" fillId="0" borderId="17" xfId="0" applyFont="1" applyBorder="1" applyAlignment="1">
      <alignment horizontal="center"/>
    </xf>
    <xf numFmtId="2" fontId="31" fillId="0" borderId="17" xfId="0" applyNumberFormat="1" applyFont="1" applyBorder="1"/>
    <xf numFmtId="0" fontId="31" fillId="0" borderId="16" xfId="0" applyFont="1" applyBorder="1"/>
    <xf numFmtId="172" fontId="31" fillId="0" borderId="16" xfId="0" applyNumberFormat="1" applyFont="1" applyBorder="1"/>
    <xf numFmtId="164" fontId="31" fillId="0" borderId="18" xfId="69" applyFont="1" applyBorder="1"/>
    <xf numFmtId="164" fontId="31" fillId="0" borderId="19" xfId="69" applyFont="1" applyBorder="1"/>
    <xf numFmtId="171" fontId="30" fillId="36" borderId="13" xfId="69" applyNumberFormat="1" applyFont="1" applyFill="1" applyBorder="1"/>
    <xf numFmtId="0" fontId="0" fillId="0" borderId="17" xfId="0" applyBorder="1"/>
    <xf numFmtId="0" fontId="7" fillId="0" borderId="20" xfId="0" applyFont="1" applyBorder="1"/>
    <xf numFmtId="0" fontId="0" fillId="0" borderId="20" xfId="0" applyBorder="1"/>
    <xf numFmtId="164" fontId="0" fillId="37" borderId="10" xfId="69" applyFont="1" applyFill="1" applyBorder="1" applyAlignment="1">
      <alignment horizontal="center"/>
    </xf>
    <xf numFmtId="169" fontId="0" fillId="37" borderId="10" xfId="69" applyNumberFormat="1" applyFont="1" applyFill="1" applyBorder="1" applyAlignment="1">
      <alignment horizontal="center"/>
    </xf>
    <xf numFmtId="0" fontId="13" fillId="37" borderId="10" xfId="0" applyFont="1" applyFill="1" applyBorder="1" applyAlignment="1">
      <alignment horizontal="center"/>
    </xf>
    <xf numFmtId="0" fontId="32" fillId="37" borderId="21" xfId="0" applyFont="1" applyFill="1" applyBorder="1" applyAlignment="1">
      <alignment horizontal="center"/>
    </xf>
    <xf numFmtId="0" fontId="0" fillId="35" borderId="10" xfId="0" applyFill="1" applyBorder="1"/>
    <xf numFmtId="0" fontId="0" fillId="0" borderId="22" xfId="0" applyBorder="1"/>
    <xf numFmtId="0" fontId="32" fillId="37" borderId="19" xfId="0" applyFont="1" applyFill="1" applyBorder="1" applyAlignment="1">
      <alignment horizontal="center"/>
    </xf>
    <xf numFmtId="0" fontId="32" fillId="37" borderId="23" xfId="0" applyFont="1" applyFill="1" applyBorder="1" applyAlignment="1">
      <alignment horizontal="center"/>
    </xf>
    <xf numFmtId="10" fontId="0" fillId="35" borderId="10" xfId="0" applyNumberFormat="1" applyFill="1" applyBorder="1"/>
    <xf numFmtId="0" fontId="32" fillId="37" borderId="24" xfId="0" applyFont="1" applyFill="1" applyBorder="1" applyAlignment="1">
      <alignment horizontal="center"/>
    </xf>
    <xf numFmtId="173" fontId="11" fillId="38" borderId="26" xfId="68" applyNumberFormat="1" applyFont="1" applyFill="1" applyBorder="1" applyAlignment="1">
      <alignment horizontal="center"/>
    </xf>
    <xf numFmtId="173" fontId="11" fillId="38" borderId="25" xfId="68" applyNumberFormat="1" applyFont="1" applyFill="1" applyBorder="1" applyAlignment="1">
      <alignment horizontal="center"/>
    </xf>
    <xf numFmtId="0" fontId="0" fillId="35" borderId="25" xfId="0" applyFill="1" applyBorder="1"/>
    <xf numFmtId="0" fontId="33" fillId="39" borderId="27" xfId="0" applyFont="1" applyFill="1" applyBorder="1" applyAlignment="1">
      <alignment horizontal="center"/>
    </xf>
    <xf numFmtId="9" fontId="34" fillId="0" borderId="28" xfId="0" applyNumberFormat="1" applyFont="1" applyBorder="1" applyAlignment="1">
      <alignment horizontal="center"/>
    </xf>
    <xf numFmtId="0" fontId="29" fillId="40" borderId="20" xfId="63" applyFont="1" applyFill="1" applyBorder="1" applyAlignment="1">
      <alignment horizontal="center"/>
    </xf>
    <xf numFmtId="0" fontId="1" fillId="0" borderId="0" xfId="63"/>
    <xf numFmtId="0" fontId="39" fillId="0" borderId="17" xfId="63" applyFont="1" applyBorder="1" applyAlignment="1">
      <alignment horizontal="center"/>
    </xf>
    <xf numFmtId="0" fontId="40" fillId="0" borderId="0" xfId="63" applyFont="1" applyAlignment="1">
      <alignment horizontal="center"/>
    </xf>
    <xf numFmtId="0" fontId="41" fillId="0" borderId="0" xfId="63" applyFont="1" applyAlignment="1">
      <alignment horizontal="center"/>
    </xf>
    <xf numFmtId="164" fontId="41" fillId="0" borderId="0" xfId="69" applyFont="1"/>
    <xf numFmtId="174" fontId="41" fillId="0" borderId="0" xfId="63" applyNumberFormat="1" applyFont="1" applyAlignment="1">
      <alignment horizontal="center"/>
    </xf>
    <xf numFmtId="164" fontId="41" fillId="0" borderId="0" xfId="63" applyNumberFormat="1" applyFont="1"/>
    <xf numFmtId="0" fontId="42" fillId="0" borderId="0" xfId="63" applyFont="1" applyAlignment="1">
      <alignment horizontal="center"/>
    </xf>
    <xf numFmtId="10" fontId="1" fillId="0" borderId="0" xfId="68" applyNumberFormat="1"/>
    <xf numFmtId="0" fontId="31" fillId="0" borderId="0" xfId="63" applyFont="1" applyAlignment="1">
      <alignment horizontal="center"/>
    </xf>
    <xf numFmtId="164" fontId="31" fillId="0" borderId="0" xfId="69" applyFont="1"/>
    <xf numFmtId="174" fontId="31" fillId="0" borderId="0" xfId="63" applyNumberFormat="1" applyFont="1" applyAlignment="1">
      <alignment horizontal="center"/>
    </xf>
    <xf numFmtId="164" fontId="31" fillId="0" borderId="0" xfId="63" applyNumberFormat="1" applyFont="1"/>
    <xf numFmtId="0" fontId="44" fillId="0" borderId="0" xfId="63" applyFont="1" applyAlignment="1">
      <alignment horizontal="center"/>
    </xf>
    <xf numFmtId="164" fontId="46" fillId="0" borderId="0" xfId="69" applyFont="1"/>
    <xf numFmtId="174" fontId="46" fillId="0" borderId="0" xfId="0" applyNumberFormat="1" applyFont="1" applyAlignment="1">
      <alignment horizontal="center"/>
    </xf>
    <xf numFmtId="164" fontId="31" fillId="0" borderId="0" xfId="69" applyFont="1" applyAlignment="1">
      <alignment horizontal="right"/>
    </xf>
    <xf numFmtId="0" fontId="46" fillId="0" borderId="0" xfId="69" applyNumberFormat="1" applyFont="1" applyAlignment="1">
      <alignment horizontal="center"/>
    </xf>
    <xf numFmtId="164" fontId="47" fillId="0" borderId="0" xfId="69" applyFont="1" applyAlignment="1">
      <alignment horizontal="center"/>
    </xf>
    <xf numFmtId="0" fontId="48" fillId="0" borderId="0" xfId="63" applyFont="1" applyAlignment="1">
      <alignment horizontal="center"/>
    </xf>
    <xf numFmtId="164" fontId="44" fillId="0" borderId="0" xfId="69" applyFont="1"/>
    <xf numFmtId="174" fontId="44" fillId="0" borderId="0" xfId="0" applyNumberFormat="1" applyFont="1" applyAlignment="1">
      <alignment horizontal="center"/>
    </xf>
    <xf numFmtId="0" fontId="44" fillId="0" borderId="0" xfId="69" applyNumberFormat="1" applyFont="1" applyAlignment="1">
      <alignment horizontal="center"/>
    </xf>
    <xf numFmtId="0" fontId="49" fillId="0" borderId="0" xfId="63" applyFont="1" applyAlignment="1">
      <alignment horizontal="center"/>
    </xf>
    <xf numFmtId="0" fontId="45" fillId="0" borderId="0" xfId="63" applyFont="1" applyAlignment="1">
      <alignment horizontal="center"/>
    </xf>
    <xf numFmtId="164" fontId="45" fillId="0" borderId="0" xfId="69" applyFont="1"/>
    <xf numFmtId="174" fontId="45" fillId="0" borderId="0" xfId="0" applyNumberFormat="1" applyFont="1" applyAlignment="1">
      <alignment horizontal="center"/>
    </xf>
    <xf numFmtId="164" fontId="43" fillId="0" borderId="0" xfId="69" applyFont="1"/>
    <xf numFmtId="0" fontId="45" fillId="0" borderId="0" xfId="69" applyNumberFormat="1" applyFont="1" applyAlignment="1">
      <alignment horizontal="center"/>
    </xf>
    <xf numFmtId="164" fontId="50" fillId="0" borderId="0" xfId="69" applyFont="1" applyAlignment="1">
      <alignment horizontal="center"/>
    </xf>
    <xf numFmtId="0" fontId="39" fillId="40" borderId="20" xfId="0" applyFont="1" applyFill="1" applyBorder="1"/>
    <xf numFmtId="0" fontId="39" fillId="40" borderId="29" xfId="0" applyFont="1" applyFill="1" applyBorder="1"/>
    <xf numFmtId="0" fontId="38" fillId="0" borderId="30" xfId="63" applyFont="1" applyBorder="1" applyAlignment="1">
      <alignment horizontal="center" vertical="center"/>
    </xf>
    <xf numFmtId="169" fontId="0" fillId="0" borderId="0" xfId="69" applyNumberFormat="1" applyFont="1"/>
    <xf numFmtId="0" fontId="0" fillId="0" borderId="29" xfId="0" applyBorder="1"/>
    <xf numFmtId="0" fontId="0" fillId="0" borderId="26" xfId="0" applyBorder="1" applyAlignment="1">
      <alignment horizontal="center"/>
    </xf>
    <xf numFmtId="0" fontId="0" fillId="0" borderId="26" xfId="0" applyBorder="1"/>
    <xf numFmtId="0" fontId="0" fillId="0" borderId="25" xfId="0" applyBorder="1"/>
    <xf numFmtId="164" fontId="0" fillId="35" borderId="10" xfId="69" applyFont="1" applyFill="1" applyBorder="1"/>
    <xf numFmtId="175" fontId="0" fillId="0" borderId="0" xfId="68" applyNumberFormat="1" applyFont="1"/>
    <xf numFmtId="164" fontId="0" fillId="0" borderId="0" xfId="69" applyFont="1"/>
    <xf numFmtId="176" fontId="0" fillId="0" borderId="0" xfId="0" applyNumberFormat="1"/>
    <xf numFmtId="177" fontId="0" fillId="0" borderId="0" xfId="0" applyNumberFormat="1"/>
    <xf numFmtId="10" fontId="0" fillId="0" borderId="0" xfId="68" applyNumberFormat="1" applyFont="1"/>
    <xf numFmtId="0" fontId="39" fillId="40" borderId="31" xfId="0" applyFont="1" applyFill="1" applyBorder="1"/>
    <xf numFmtId="0" fontId="39" fillId="40" borderId="33" xfId="0" applyFont="1" applyFill="1" applyBorder="1"/>
    <xf numFmtId="0" fontId="39" fillId="40" borderId="0" xfId="0" applyFont="1" applyFill="1"/>
    <xf numFmtId="0" fontId="39" fillId="40" borderId="34" xfId="0" applyFont="1" applyFill="1" applyBorder="1"/>
    <xf numFmtId="0" fontId="39" fillId="40" borderId="26" xfId="0" applyFont="1" applyFill="1" applyBorder="1"/>
    <xf numFmtId="168" fontId="0" fillId="37" borderId="32" xfId="69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31" fillId="0" borderId="0" xfId="63" applyFont="1"/>
    <xf numFmtId="0" fontId="31" fillId="0" borderId="0" xfId="0" applyFont="1"/>
    <xf numFmtId="169" fontId="29" fillId="40" borderId="0" xfId="69" applyNumberFormat="1" applyFont="1" applyFill="1" applyBorder="1" applyAlignment="1">
      <alignment horizontal="center"/>
    </xf>
    <xf numFmtId="169" fontId="29" fillId="40" borderId="10" xfId="69" applyNumberFormat="1" applyFont="1" applyFill="1" applyBorder="1" applyAlignment="1">
      <alignment horizontal="center"/>
    </xf>
    <xf numFmtId="0" fontId="29" fillId="40" borderId="29" xfId="63" applyFont="1" applyFill="1" applyBorder="1" applyAlignment="1">
      <alignment horizontal="center"/>
    </xf>
    <xf numFmtId="10" fontId="1" fillId="37" borderId="20" xfId="68" applyNumberFormat="1" applyFill="1" applyBorder="1" applyAlignment="1"/>
    <xf numFmtId="10" fontId="10" fillId="42" borderId="20" xfId="68" applyNumberFormat="1" applyFont="1" applyFill="1" applyBorder="1"/>
    <xf numFmtId="0" fontId="39" fillId="40" borderId="35" xfId="0" applyFont="1" applyFill="1" applyBorder="1"/>
    <xf numFmtId="164" fontId="50" fillId="0" borderId="0" xfId="69" quotePrefix="1" applyFont="1" applyAlignment="1">
      <alignment horizontal="center"/>
    </xf>
    <xf numFmtId="171" fontId="0" fillId="0" borderId="0" xfId="69" applyNumberFormat="1" applyFont="1"/>
    <xf numFmtId="166" fontId="0" fillId="0" borderId="0" xfId="0" applyNumberFormat="1"/>
    <xf numFmtId="169" fontId="0" fillId="37" borderId="10" xfId="69" applyNumberFormat="1" applyFont="1" applyFill="1" applyBorder="1"/>
    <xf numFmtId="171" fontId="10" fillId="42" borderId="0" xfId="69" applyNumberFormat="1" applyFont="1" applyFill="1" applyBorder="1"/>
    <xf numFmtId="171" fontId="10" fillId="42" borderId="10" xfId="69" applyNumberFormat="1" applyFont="1" applyFill="1" applyBorder="1"/>
    <xf numFmtId="171" fontId="10" fillId="42" borderId="10" xfId="69" applyNumberFormat="1" applyFont="1" applyFill="1" applyBorder="1" applyAlignment="1"/>
    <xf numFmtId="171" fontId="10" fillId="42" borderId="26" xfId="69" applyNumberFormat="1" applyFont="1" applyFill="1" applyBorder="1"/>
    <xf numFmtId="171" fontId="10" fillId="42" borderId="25" xfId="69" applyNumberFormat="1" applyFont="1" applyFill="1" applyBorder="1"/>
    <xf numFmtId="171" fontId="58" fillId="42" borderId="10" xfId="69" applyNumberFormat="1" applyFont="1" applyFill="1" applyBorder="1" applyAlignment="1">
      <alignment vertical="center"/>
    </xf>
    <xf numFmtId="171" fontId="58" fillId="42" borderId="10" xfId="69" applyNumberFormat="1" applyFont="1" applyFill="1" applyBorder="1" applyAlignment="1"/>
    <xf numFmtId="0" fontId="59" fillId="42" borderId="25" xfId="0" applyFont="1" applyFill="1" applyBorder="1" applyAlignment="1">
      <alignment horizontal="center"/>
    </xf>
    <xf numFmtId="0" fontId="1" fillId="0" borderId="0" xfId="74"/>
    <xf numFmtId="0" fontId="62" fillId="0" borderId="0" xfId="74" applyFont="1"/>
    <xf numFmtId="0" fontId="63" fillId="0" borderId="0" xfId="74" applyFont="1" applyAlignment="1">
      <alignment horizontal="center"/>
    </xf>
    <xf numFmtId="0" fontId="1" fillId="0" borderId="0" xfId="74" applyAlignment="1">
      <alignment horizont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164" fontId="63" fillId="0" borderId="0" xfId="69" applyFont="1" applyBorder="1" applyProtection="1">
      <protection locked="0"/>
    </xf>
    <xf numFmtId="164" fontId="66" fillId="0" borderId="30" xfId="69" applyFont="1" applyBorder="1" applyProtection="1"/>
    <xf numFmtId="164" fontId="66" fillId="0" borderId="37" xfId="69" applyFont="1" applyBorder="1" applyProtection="1"/>
    <xf numFmtId="164" fontId="66" fillId="0" borderId="38" xfId="69" applyFont="1" applyBorder="1" applyProtection="1"/>
    <xf numFmtId="164" fontId="67" fillId="0" borderId="47" xfId="69" applyFont="1" applyBorder="1" applyAlignment="1">
      <alignment horizontal="center"/>
    </xf>
    <xf numFmtId="0" fontId="27" fillId="0" borderId="0" xfId="74" applyFont="1" applyAlignment="1" applyProtection="1">
      <alignment horizontal="center"/>
      <protection locked="0"/>
    </xf>
    <xf numFmtId="164" fontId="27" fillId="0" borderId="0" xfId="69" applyFont="1" applyAlignment="1" applyProtection="1">
      <alignment horizontal="center"/>
      <protection locked="0"/>
    </xf>
    <xf numFmtId="0" fontId="68" fillId="0" borderId="13" xfId="0" applyFont="1" applyBorder="1" applyAlignment="1">
      <alignment horizontal="center" vertical="center"/>
    </xf>
    <xf numFmtId="0" fontId="27" fillId="0" borderId="53" xfId="0" applyFont="1" applyBorder="1" applyAlignment="1">
      <alignment vertical="center"/>
    </xf>
    <xf numFmtId="0" fontId="27" fillId="0" borderId="51" xfId="0" applyFont="1" applyBorder="1" applyAlignment="1">
      <alignment vertical="center"/>
    </xf>
    <xf numFmtId="0" fontId="27" fillId="0" borderId="52" xfId="0" applyFont="1" applyBorder="1" applyAlignment="1">
      <alignment vertical="center"/>
    </xf>
    <xf numFmtId="0" fontId="27" fillId="0" borderId="53" xfId="0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68" fillId="0" borderId="0" xfId="74" applyFont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2" fontId="69" fillId="0" borderId="37" xfId="74" applyNumberFormat="1" applyFont="1" applyBorder="1" applyProtection="1">
      <protection locked="0"/>
    </xf>
    <xf numFmtId="2" fontId="69" fillId="0" borderId="38" xfId="74" applyNumberFormat="1" applyFont="1" applyBorder="1" applyProtection="1">
      <protection locked="0"/>
    </xf>
    <xf numFmtId="2" fontId="70" fillId="0" borderId="30" xfId="74" applyNumberFormat="1" applyFont="1" applyBorder="1" applyProtection="1">
      <protection locked="0"/>
    </xf>
    <xf numFmtId="178" fontId="27" fillId="0" borderId="54" xfId="69" applyNumberFormat="1" applyFont="1" applyBorder="1"/>
    <xf numFmtId="178" fontId="27" fillId="0" borderId="0" xfId="69" applyNumberFormat="1" applyFont="1" applyBorder="1"/>
    <xf numFmtId="178" fontId="27" fillId="0" borderId="55" xfId="69" applyNumberFormat="1" applyFont="1" applyBorder="1"/>
    <xf numFmtId="179" fontId="0" fillId="0" borderId="0" xfId="0" applyNumberFormat="1"/>
    <xf numFmtId="0" fontId="1" fillId="37" borderId="36" xfId="0" applyFont="1" applyFill="1" applyBorder="1" applyAlignment="1">
      <alignment horizontal="center"/>
    </xf>
    <xf numFmtId="0" fontId="71" fillId="0" borderId="0" xfId="75"/>
    <xf numFmtId="4" fontId="72" fillId="0" borderId="0" xfId="75" applyNumberFormat="1" applyFont="1"/>
    <xf numFmtId="4" fontId="71" fillId="0" borderId="58" xfId="75" applyNumberFormat="1" applyBorder="1"/>
    <xf numFmtId="167" fontId="71" fillId="44" borderId="16" xfId="75" applyNumberFormat="1" applyFill="1" applyBorder="1"/>
    <xf numFmtId="0" fontId="71" fillId="44" borderId="15" xfId="75" applyFill="1" applyBorder="1" applyAlignment="1">
      <alignment horizontal="right"/>
    </xf>
    <xf numFmtId="167" fontId="71" fillId="44" borderId="59" xfId="75" applyNumberFormat="1" applyFill="1" applyBorder="1"/>
    <xf numFmtId="0" fontId="71" fillId="44" borderId="60" xfId="75" applyFill="1" applyBorder="1" applyAlignment="1">
      <alignment horizontal="right"/>
    </xf>
    <xf numFmtId="0" fontId="72" fillId="0" borderId="0" xfId="75" applyFont="1"/>
    <xf numFmtId="10" fontId="71" fillId="0" borderId="0" xfId="75" applyNumberFormat="1"/>
    <xf numFmtId="0" fontId="75" fillId="0" borderId="0" xfId="75" applyFont="1" applyAlignment="1">
      <alignment horizontal="center"/>
    </xf>
    <xf numFmtId="167" fontId="71" fillId="44" borderId="61" xfId="75" applyNumberFormat="1" applyFill="1" applyBorder="1"/>
    <xf numFmtId="0" fontId="76" fillId="44" borderId="41" xfId="75" applyFont="1" applyFill="1" applyBorder="1" applyAlignment="1">
      <alignment horizontal="right"/>
    </xf>
    <xf numFmtId="167" fontId="77" fillId="35" borderId="16" xfId="75" applyNumberFormat="1" applyFont="1" applyFill="1" applyBorder="1" applyProtection="1">
      <protection locked="0"/>
    </xf>
    <xf numFmtId="0" fontId="77" fillId="35" borderId="15" xfId="75" applyFont="1" applyFill="1" applyBorder="1" applyAlignment="1">
      <alignment horizontal="center"/>
    </xf>
    <xf numFmtId="10" fontId="77" fillId="35" borderId="59" xfId="76" applyNumberFormat="1" applyFont="1" applyFill="1" applyBorder="1" applyProtection="1">
      <protection locked="0"/>
    </xf>
    <xf numFmtId="0" fontId="77" fillId="35" borderId="60" xfId="75" applyFont="1" applyFill="1" applyBorder="1" applyAlignment="1">
      <alignment horizontal="center"/>
    </xf>
    <xf numFmtId="0" fontId="71" fillId="0" borderId="0" xfId="75" applyProtection="1">
      <protection locked="0"/>
    </xf>
    <xf numFmtId="4" fontId="77" fillId="35" borderId="59" xfId="75" applyNumberFormat="1" applyFont="1" applyFill="1" applyBorder="1" applyProtection="1">
      <protection locked="0"/>
    </xf>
    <xf numFmtId="4" fontId="75" fillId="0" borderId="0" xfId="75" applyNumberFormat="1" applyFont="1"/>
    <xf numFmtId="0" fontId="71" fillId="0" borderId="0" xfId="75" applyAlignment="1" applyProtection="1">
      <alignment horizontal="center"/>
      <protection locked="0"/>
    </xf>
    <xf numFmtId="4" fontId="71" fillId="0" borderId="0" xfId="75" applyNumberFormat="1"/>
    <xf numFmtId="0" fontId="77" fillId="35" borderId="61" xfId="75" applyFont="1" applyFill="1" applyBorder="1" applyAlignment="1" applyProtection="1">
      <alignment horizontal="center"/>
      <protection locked="0"/>
    </xf>
    <xf numFmtId="0" fontId="77" fillId="35" borderId="41" xfId="75" applyFont="1" applyFill="1" applyBorder="1" applyAlignment="1">
      <alignment horizontal="center"/>
    </xf>
    <xf numFmtId="180" fontId="78" fillId="0" borderId="0" xfId="75" applyNumberFormat="1" applyFont="1" applyAlignment="1">
      <alignment horizontal="center"/>
    </xf>
    <xf numFmtId="0" fontId="1" fillId="37" borderId="10" xfId="0" applyFont="1" applyFill="1" applyBorder="1" applyAlignment="1">
      <alignment horizontal="center"/>
    </xf>
    <xf numFmtId="14" fontId="1" fillId="37" borderId="10" xfId="69" applyNumberFormat="1" applyFill="1" applyBorder="1" applyAlignment="1">
      <alignment horizontal="center"/>
    </xf>
    <xf numFmtId="4" fontId="0" fillId="0" borderId="0" xfId="0" applyNumberFormat="1"/>
    <xf numFmtId="10" fontId="1" fillId="37" borderId="10" xfId="68" applyNumberFormat="1" applyFill="1" applyBorder="1" applyAlignment="1">
      <alignment horizontal="center"/>
    </xf>
    <xf numFmtId="181" fontId="78" fillId="0" borderId="0" xfId="75" applyNumberFormat="1" applyFont="1"/>
    <xf numFmtId="0" fontId="81" fillId="46" borderId="62" xfId="77" applyFont="1" applyFill="1" applyBorder="1" applyAlignment="1">
      <alignment horizontal="left" wrapText="1"/>
    </xf>
    <xf numFmtId="0" fontId="81" fillId="46" borderId="63" xfId="77" applyFont="1" applyFill="1" applyBorder="1" applyAlignment="1">
      <alignment horizontal="left" wrapText="1"/>
    </xf>
    <xf numFmtId="0" fontId="81" fillId="46" borderId="64" xfId="77" applyFont="1" applyFill="1" applyBorder="1" applyAlignment="1">
      <alignment horizontal="left" wrapText="1"/>
    </xf>
    <xf numFmtId="0" fontId="80" fillId="0" borderId="0" xfId="77"/>
    <xf numFmtId="182" fontId="82" fillId="47" borderId="65" xfId="77" applyNumberFormat="1" applyFont="1" applyFill="1" applyBorder="1" applyAlignment="1">
      <alignment horizontal="left" wrapText="1"/>
    </xf>
    <xf numFmtId="0" fontId="82" fillId="47" borderId="66" xfId="77" applyFont="1" applyFill="1" applyBorder="1" applyAlignment="1">
      <alignment horizontal="left" wrapText="1"/>
    </xf>
    <xf numFmtId="0" fontId="82" fillId="47" borderId="67" xfId="77" applyFont="1" applyFill="1" applyBorder="1" applyAlignment="1">
      <alignment horizontal="left" wrapText="1"/>
    </xf>
    <xf numFmtId="0" fontId="82" fillId="47" borderId="64" xfId="77" applyFont="1" applyFill="1" applyBorder="1" applyAlignment="1">
      <alignment horizontal="left" wrapText="1"/>
    </xf>
    <xf numFmtId="182" fontId="82" fillId="48" borderId="62" xfId="77" applyNumberFormat="1" applyFont="1" applyFill="1" applyBorder="1" applyAlignment="1">
      <alignment horizontal="left" wrapText="1"/>
    </xf>
    <xf numFmtId="0" fontId="82" fillId="48" borderId="63" xfId="77" applyFont="1" applyFill="1" applyBorder="1" applyAlignment="1">
      <alignment horizontal="left" wrapText="1"/>
    </xf>
    <xf numFmtId="0" fontId="82" fillId="48" borderId="64" xfId="77" applyFont="1" applyFill="1" applyBorder="1" applyAlignment="1">
      <alignment horizontal="left" wrapText="1"/>
    </xf>
    <xf numFmtId="182" fontId="82" fillId="48" borderId="65" xfId="77" applyNumberFormat="1" applyFont="1" applyFill="1" applyBorder="1" applyAlignment="1">
      <alignment horizontal="left" wrapText="1"/>
    </xf>
    <xf numFmtId="0" fontId="82" fillId="48" borderId="66" xfId="77" applyFont="1" applyFill="1" applyBorder="1" applyAlignment="1">
      <alignment horizontal="left" wrapText="1"/>
    </xf>
    <xf numFmtId="0" fontId="82" fillId="48" borderId="67" xfId="77" applyFont="1" applyFill="1" applyBorder="1" applyAlignment="1">
      <alignment horizontal="left" wrapText="1"/>
    </xf>
    <xf numFmtId="182" fontId="82" fillId="47" borderId="62" xfId="77" applyNumberFormat="1" applyFont="1" applyFill="1" applyBorder="1" applyAlignment="1">
      <alignment horizontal="left" wrapText="1"/>
    </xf>
    <xf numFmtId="0" fontId="82" fillId="47" borderId="63" xfId="77" applyFont="1" applyFill="1" applyBorder="1" applyAlignment="1">
      <alignment horizontal="left" wrapText="1"/>
    </xf>
    <xf numFmtId="0" fontId="81" fillId="0" borderId="0" xfId="77" applyFont="1"/>
    <xf numFmtId="0" fontId="83" fillId="0" borderId="0" xfId="77" applyFont="1"/>
    <xf numFmtId="0" fontId="2" fillId="0" borderId="13" xfId="0" applyFont="1" applyBorder="1" applyAlignment="1">
      <alignment horizontal="left"/>
    </xf>
    <xf numFmtId="0" fontId="1" fillId="0" borderId="52" xfId="0" applyFont="1" applyBorder="1" applyAlignment="1">
      <alignment horizontal="center"/>
    </xf>
    <xf numFmtId="0" fontId="1" fillId="0" borderId="52" xfId="0" applyFont="1" applyBorder="1"/>
    <xf numFmtId="0" fontId="1" fillId="0" borderId="51" xfId="0" applyFont="1" applyBorder="1" applyAlignment="1">
      <alignment horizontal="center"/>
    </xf>
    <xf numFmtId="0" fontId="0" fillId="0" borderId="51" xfId="0" applyBorder="1" applyAlignment="1">
      <alignment horizontal="center"/>
    </xf>
    <xf numFmtId="0" fontId="1" fillId="0" borderId="51" xfId="0" applyFont="1" applyBorder="1"/>
    <xf numFmtId="0" fontId="0" fillId="0" borderId="68" xfId="0" applyBorder="1" applyAlignment="1">
      <alignment horizontal="center"/>
    </xf>
    <xf numFmtId="0" fontId="1" fillId="0" borderId="68" xfId="0" applyFont="1" applyBorder="1"/>
    <xf numFmtId="0" fontId="2" fillId="0" borderId="13" xfId="0" applyFont="1" applyBorder="1"/>
    <xf numFmtId="166" fontId="1" fillId="0" borderId="0" xfId="0" applyNumberFormat="1" applyFont="1"/>
    <xf numFmtId="0" fontId="1" fillId="0" borderId="0" xfId="0" applyFont="1"/>
    <xf numFmtId="0" fontId="2" fillId="0" borderId="0" xfId="0" applyFont="1"/>
    <xf numFmtId="164" fontId="2" fillId="37" borderId="10" xfId="69" applyFont="1" applyFill="1" applyBorder="1" applyAlignment="1">
      <alignment horizontal="center"/>
    </xf>
    <xf numFmtId="171" fontId="31" fillId="0" borderId="0" xfId="69" applyNumberFormat="1" applyFont="1"/>
    <xf numFmtId="171" fontId="29" fillId="0" borderId="0" xfId="69" applyNumberFormat="1" applyFont="1"/>
    <xf numFmtId="0" fontId="88" fillId="49" borderId="0" xfId="0" applyFont="1" applyFill="1"/>
    <xf numFmtId="0" fontId="89" fillId="49" borderId="0" xfId="0" applyFont="1" applyFill="1" applyAlignment="1">
      <alignment horizontal="right"/>
    </xf>
    <xf numFmtId="172" fontId="0" fillId="35" borderId="25" xfId="0" applyNumberFormat="1" applyFill="1" applyBorder="1"/>
    <xf numFmtId="173" fontId="0" fillId="35" borderId="10" xfId="0" applyNumberFormat="1" applyFill="1" applyBorder="1"/>
    <xf numFmtId="166" fontId="11" fillId="38" borderId="0" xfId="0" applyNumberFormat="1" applyFont="1" applyFill="1" applyAlignment="1">
      <alignment horizontal="center"/>
    </xf>
    <xf numFmtId="166" fontId="11" fillId="38" borderId="10" xfId="0" applyNumberFormat="1" applyFont="1" applyFill="1" applyBorder="1" applyAlignment="1">
      <alignment horizontal="center"/>
    </xf>
    <xf numFmtId="164" fontId="1" fillId="37" borderId="32" xfId="69" applyFont="1" applyFill="1" applyBorder="1" applyAlignment="1">
      <alignment horizontal="center"/>
    </xf>
    <xf numFmtId="0" fontId="60" fillId="0" borderId="30" xfId="0" applyFont="1" applyBorder="1" applyAlignment="1">
      <alignment horizontal="center"/>
    </xf>
    <xf numFmtId="0" fontId="60" fillId="0" borderId="37" xfId="0" applyFont="1" applyBorder="1" applyAlignment="1">
      <alignment horizontal="center"/>
    </xf>
    <xf numFmtId="0" fontId="60" fillId="0" borderId="38" xfId="0" applyFont="1" applyBorder="1" applyAlignment="1">
      <alignment horizontal="center"/>
    </xf>
    <xf numFmtId="0" fontId="8" fillId="41" borderId="31" xfId="0" applyFont="1" applyFill="1" applyBorder="1" applyAlignment="1">
      <alignment horizontal="center"/>
    </xf>
    <xf numFmtId="0" fontId="8" fillId="41" borderId="34" xfId="0" applyFont="1" applyFill="1" applyBorder="1" applyAlignment="1">
      <alignment horizontal="center"/>
    </xf>
    <xf numFmtId="0" fontId="8" fillId="41" borderId="32" xfId="0" applyFont="1" applyFill="1" applyBorder="1" applyAlignment="1">
      <alignment horizontal="center"/>
    </xf>
    <xf numFmtId="169" fontId="9" fillId="41" borderId="31" xfId="69" applyNumberFormat="1" applyFont="1" applyFill="1" applyBorder="1" applyAlignment="1">
      <alignment horizontal="center"/>
    </xf>
    <xf numFmtId="169" fontId="9" fillId="41" borderId="34" xfId="69" applyNumberFormat="1" applyFont="1" applyFill="1" applyBorder="1" applyAlignment="1">
      <alignment horizontal="center"/>
    </xf>
    <xf numFmtId="169" fontId="9" fillId="41" borderId="32" xfId="69" applyNumberFormat="1" applyFont="1" applyFill="1" applyBorder="1" applyAlignment="1">
      <alignment horizontal="center"/>
    </xf>
    <xf numFmtId="0" fontId="54" fillId="43" borderId="31" xfId="63" applyFont="1" applyFill="1" applyBorder="1" applyAlignment="1">
      <alignment horizontal="center"/>
    </xf>
    <xf numFmtId="0" fontId="54" fillId="43" borderId="34" xfId="63" applyFont="1" applyFill="1" applyBorder="1" applyAlignment="1">
      <alignment horizontal="center"/>
    </xf>
    <xf numFmtId="0" fontId="54" fillId="43" borderId="32" xfId="63" applyFont="1" applyFill="1" applyBorder="1" applyAlignment="1">
      <alignment horizontal="center"/>
    </xf>
    <xf numFmtId="0" fontId="54" fillId="43" borderId="20" xfId="63" applyFont="1" applyFill="1" applyBorder="1" applyAlignment="1">
      <alignment horizontal="center"/>
    </xf>
    <xf numFmtId="0" fontId="54" fillId="43" borderId="0" xfId="63" applyFont="1" applyFill="1" applyAlignment="1">
      <alignment horizontal="center"/>
    </xf>
    <xf numFmtId="0" fontId="54" fillId="43" borderId="10" xfId="63" applyFont="1" applyFill="1" applyBorder="1" applyAlignment="1">
      <alignment horizontal="center"/>
    </xf>
    <xf numFmtId="0" fontId="39" fillId="40" borderId="20" xfId="0" applyFont="1" applyFill="1" applyBorder="1" applyAlignment="1">
      <alignment horizontal="left"/>
    </xf>
    <xf numFmtId="0" fontId="39" fillId="40" borderId="0" xfId="0" applyFont="1" applyFill="1" applyAlignment="1">
      <alignment horizontal="left"/>
    </xf>
    <xf numFmtId="0" fontId="87" fillId="49" borderId="0" xfId="0" applyFont="1" applyFill="1" applyAlignment="1">
      <alignment horizontal="center"/>
    </xf>
    <xf numFmtId="0" fontId="39" fillId="40" borderId="20" xfId="0" applyFont="1" applyFill="1" applyBorder="1"/>
    <xf numFmtId="0" fontId="39" fillId="40" borderId="0" xfId="0" applyFont="1" applyFill="1"/>
    <xf numFmtId="0" fontId="39" fillId="40" borderId="20" xfId="0" applyFont="1" applyFill="1" applyBorder="1" applyAlignment="1">
      <alignment vertical="center" wrapText="1"/>
    </xf>
    <xf numFmtId="0" fontId="39" fillId="40" borderId="0" xfId="0" applyFont="1" applyFill="1" applyAlignment="1">
      <alignment vertical="center" wrapText="1"/>
    </xf>
    <xf numFmtId="0" fontId="39" fillId="40" borderId="39" xfId="0" applyFont="1" applyFill="1" applyBorder="1"/>
    <xf numFmtId="0" fontId="39" fillId="40" borderId="40" xfId="0" applyFont="1" applyFill="1" applyBorder="1"/>
    <xf numFmtId="0" fontId="39" fillId="40" borderId="29" xfId="0" applyFont="1" applyFill="1" applyBorder="1"/>
    <xf numFmtId="0" fontId="39" fillId="40" borderId="26" xfId="0" applyFont="1" applyFill="1" applyBorder="1"/>
    <xf numFmtId="0" fontId="31" fillId="0" borderId="57" xfId="0" applyFont="1" applyBorder="1" applyAlignment="1">
      <alignment horizontal="center" vertical="center" textRotation="90"/>
    </xf>
    <xf numFmtId="0" fontId="31" fillId="0" borderId="11" xfId="0" applyFont="1" applyBorder="1" applyAlignment="1">
      <alignment horizontal="center" vertical="center" textRotation="90"/>
    </xf>
    <xf numFmtId="0" fontId="31" fillId="0" borderId="12" xfId="0" applyFont="1" applyBorder="1" applyAlignment="1">
      <alignment horizontal="center" vertical="center" textRotation="90"/>
    </xf>
    <xf numFmtId="0" fontId="31" fillId="0" borderId="57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31" fillId="0" borderId="57" xfId="0" applyFont="1" applyBorder="1" applyAlignment="1">
      <alignment horizontal="center" vertical="center" textRotation="90" wrapText="1"/>
    </xf>
    <xf numFmtId="0" fontId="31" fillId="0" borderId="11" xfId="0" applyFont="1" applyBorder="1" applyAlignment="1">
      <alignment horizontal="center" vertical="center" textRotation="90" wrapText="1"/>
    </xf>
    <xf numFmtId="0" fontId="31" fillId="0" borderId="53" xfId="0" applyFont="1" applyBorder="1" applyAlignment="1">
      <alignment horizontal="center" vertical="center" textRotation="90" wrapText="1"/>
    </xf>
    <xf numFmtId="0" fontId="65" fillId="0" borderId="0" xfId="74" applyFont="1" applyAlignment="1">
      <alignment horizontal="center" vertical="center"/>
    </xf>
    <xf numFmtId="0" fontId="63" fillId="0" borderId="0" xfId="74" applyFont="1" applyAlignment="1">
      <alignment horizontal="right"/>
    </xf>
    <xf numFmtId="0" fontId="64" fillId="0" borderId="48" xfId="74" applyFont="1" applyBorder="1" applyAlignment="1">
      <alignment horizontal="center"/>
    </xf>
    <xf numFmtId="0" fontId="64" fillId="0" borderId="49" xfId="74" applyFont="1" applyBorder="1" applyAlignment="1">
      <alignment horizontal="center"/>
    </xf>
    <xf numFmtId="0" fontId="64" fillId="0" borderId="50" xfId="74" applyFont="1" applyBorder="1" applyAlignment="1">
      <alignment horizontal="center"/>
    </xf>
    <xf numFmtId="0" fontId="64" fillId="0" borderId="0" xfId="74" applyFont="1" applyAlignment="1">
      <alignment horizontal="right"/>
    </xf>
    <xf numFmtId="0" fontId="64" fillId="0" borderId="13" xfId="0" applyFont="1" applyBorder="1" applyAlignment="1">
      <alignment horizontal="center" vertical="center"/>
    </xf>
    <xf numFmtId="0" fontId="31" fillId="0" borderId="56" xfId="0" applyFont="1" applyBorder="1" applyAlignment="1">
      <alignment horizontal="center" vertical="center"/>
    </xf>
    <xf numFmtId="0" fontId="31" fillId="0" borderId="53" xfId="0" applyFont="1" applyBorder="1" applyAlignment="1">
      <alignment horizontal="center" vertical="center"/>
    </xf>
    <xf numFmtId="0" fontId="68" fillId="0" borderId="13" xfId="0" applyFont="1" applyBorder="1" applyAlignment="1">
      <alignment horizontal="center" vertical="center"/>
    </xf>
    <xf numFmtId="0" fontId="64" fillId="0" borderId="13" xfId="0" applyFont="1" applyBorder="1" applyAlignment="1">
      <alignment vertical="center"/>
    </xf>
    <xf numFmtId="0" fontId="38" fillId="0" borderId="31" xfId="63" applyFont="1" applyBorder="1" applyAlignment="1">
      <alignment horizontal="center" vertical="center"/>
    </xf>
    <xf numFmtId="0" fontId="38" fillId="0" borderId="29" xfId="63" applyFont="1" applyBorder="1" applyAlignment="1">
      <alignment horizontal="center" vertical="center"/>
    </xf>
    <xf numFmtId="0" fontId="37" fillId="0" borderId="34" xfId="63" applyFont="1" applyBorder="1" applyAlignment="1">
      <alignment horizontal="center" vertical="center"/>
    </xf>
    <xf numFmtId="0" fontId="37" fillId="0" borderId="26" xfId="63" applyFont="1" applyBorder="1" applyAlignment="1">
      <alignment horizontal="center" vertical="center"/>
    </xf>
    <xf numFmtId="14" fontId="38" fillId="0" borderId="34" xfId="63" applyNumberFormat="1" applyFont="1" applyBorder="1" applyAlignment="1">
      <alignment horizontal="center" vertical="center"/>
    </xf>
    <xf numFmtId="14" fontId="38" fillId="0" borderId="32" xfId="63" applyNumberFormat="1" applyFont="1" applyBorder="1" applyAlignment="1">
      <alignment horizontal="center" vertical="center"/>
    </xf>
    <xf numFmtId="14" fontId="38" fillId="0" borderId="26" xfId="63" applyNumberFormat="1" applyFont="1" applyBorder="1" applyAlignment="1">
      <alignment horizontal="center" vertical="center"/>
    </xf>
    <xf numFmtId="14" fontId="38" fillId="0" borderId="25" xfId="63" applyNumberFormat="1" applyFont="1" applyBorder="1" applyAlignment="1">
      <alignment horizontal="center" vertical="center"/>
    </xf>
    <xf numFmtId="0" fontId="37" fillId="0" borderId="37" xfId="63" applyFont="1" applyBorder="1" applyAlignment="1">
      <alignment horizontal="center" vertical="center"/>
    </xf>
    <xf numFmtId="14" fontId="38" fillId="0" borderId="37" xfId="63" applyNumberFormat="1" applyFont="1" applyBorder="1" applyAlignment="1">
      <alignment horizontal="center" vertical="center"/>
    </xf>
    <xf numFmtId="0" fontId="38" fillId="0" borderId="38" xfId="63" applyFont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0" borderId="42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35" borderId="18" xfId="0" applyFont="1" applyFill="1" applyBorder="1" applyAlignment="1">
      <alignment horizontal="center"/>
    </xf>
    <xf numFmtId="0" fontId="2" fillId="35" borderId="14" xfId="0" applyFont="1" applyFill="1" applyBorder="1" applyAlignment="1">
      <alignment horizontal="center"/>
    </xf>
    <xf numFmtId="0" fontId="75" fillId="45" borderId="41" xfId="75" applyFont="1" applyFill="1" applyBorder="1" applyAlignment="1">
      <alignment horizontal="center" vertical="center"/>
    </xf>
    <xf numFmtId="0" fontId="75" fillId="45" borderId="15" xfId="75" applyFont="1" applyFill="1" applyBorder="1" applyAlignment="1">
      <alignment horizontal="center" vertical="center"/>
    </xf>
    <xf numFmtId="167" fontId="75" fillId="45" borderId="61" xfId="75" applyNumberFormat="1" applyFont="1" applyFill="1" applyBorder="1" applyAlignment="1">
      <alignment horizontal="center" vertical="center"/>
    </xf>
    <xf numFmtId="167" fontId="75" fillId="45" borderId="16" xfId="75" applyNumberFormat="1" applyFont="1" applyFill="1" applyBorder="1" applyAlignment="1">
      <alignment horizontal="center" vertical="center"/>
    </xf>
    <xf numFmtId="0" fontId="79" fillId="0" borderId="41" xfId="75" applyFont="1" applyBorder="1" applyAlignment="1">
      <alignment horizontal="center" wrapText="1"/>
    </xf>
    <xf numFmtId="0" fontId="79" fillId="0" borderId="61" xfId="75" applyFont="1" applyBorder="1" applyAlignment="1">
      <alignment horizontal="center" wrapText="1"/>
    </xf>
    <xf numFmtId="0" fontId="79" fillId="0" borderId="15" xfId="75" applyFont="1" applyBorder="1" applyAlignment="1">
      <alignment horizontal="center" wrapText="1"/>
    </xf>
    <xf numFmtId="0" fontId="79" fillId="0" borderId="16" xfId="75" applyFont="1" applyBorder="1" applyAlignment="1">
      <alignment horizontal="center" wrapText="1"/>
    </xf>
    <xf numFmtId="0" fontId="2" fillId="40" borderId="43" xfId="0" applyFont="1" applyFill="1" applyBorder="1" applyAlignment="1">
      <alignment horizontal="center"/>
    </xf>
    <xf numFmtId="0" fontId="2" fillId="40" borderId="44" xfId="0" applyFont="1" applyFill="1" applyBorder="1" applyAlignment="1">
      <alignment horizontal="center"/>
    </xf>
    <xf numFmtId="0" fontId="2" fillId="40" borderId="45" xfId="0" applyFont="1" applyFill="1" applyBorder="1" applyAlignment="1">
      <alignment horizontal="center"/>
    </xf>
    <xf numFmtId="0" fontId="2" fillId="40" borderId="46" xfId="0" applyFont="1" applyFill="1" applyBorder="1" applyAlignment="1">
      <alignment horizontal="center"/>
    </xf>
    <xf numFmtId="0" fontId="84" fillId="41" borderId="31" xfId="0" applyFont="1" applyFill="1" applyBorder="1" applyAlignment="1">
      <alignment horizontal="center"/>
    </xf>
    <xf numFmtId="0" fontId="84" fillId="41" borderId="34" xfId="0" applyFont="1" applyFill="1" applyBorder="1" applyAlignment="1">
      <alignment horizontal="center"/>
    </xf>
    <xf numFmtId="0" fontId="84" fillId="41" borderId="32" xfId="0" applyFont="1" applyFill="1" applyBorder="1" applyAlignment="1">
      <alignment horizontal="center"/>
    </xf>
  </cellXfs>
  <cellStyles count="85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40% - Accent1" xfId="7" xr:uid="{00000000-0005-0000-0000-000006000000}"/>
    <cellStyle name="40% - Accent2" xfId="8" xr:uid="{00000000-0005-0000-0000-000007000000}"/>
    <cellStyle name="40% - Accent3" xfId="9" xr:uid="{00000000-0005-0000-0000-000008000000}"/>
    <cellStyle name="40% - Accent4" xfId="10" xr:uid="{00000000-0005-0000-0000-000009000000}"/>
    <cellStyle name="40% - Accent5" xfId="11" xr:uid="{00000000-0005-0000-0000-00000A000000}"/>
    <cellStyle name="40% - Accent6" xfId="12" xr:uid="{00000000-0005-0000-0000-00000B000000}"/>
    <cellStyle name="60% - Accent1" xfId="13" xr:uid="{00000000-0005-0000-0000-00000C000000}"/>
    <cellStyle name="60% - Accent2" xfId="14" xr:uid="{00000000-0005-0000-0000-00000D000000}"/>
    <cellStyle name="60% - Accent3" xfId="15" xr:uid="{00000000-0005-0000-0000-00000E000000}"/>
    <cellStyle name="60% - Accent4" xfId="16" xr:uid="{00000000-0005-0000-0000-00000F000000}"/>
    <cellStyle name="60% - Accent5" xfId="17" xr:uid="{00000000-0005-0000-0000-000010000000}"/>
    <cellStyle name="60% - Accent6" xfId="18" xr:uid="{00000000-0005-0000-0000-000011000000}"/>
    <cellStyle name="Accent1" xfId="19" xr:uid="{00000000-0005-0000-0000-000012000000}"/>
    <cellStyle name="Accent1 - 20%" xfId="20" xr:uid="{00000000-0005-0000-0000-000013000000}"/>
    <cellStyle name="Accent1 - 40%" xfId="21" xr:uid="{00000000-0005-0000-0000-000014000000}"/>
    <cellStyle name="Accent1 - 60%" xfId="22" xr:uid="{00000000-0005-0000-0000-000015000000}"/>
    <cellStyle name="Accent2" xfId="23" xr:uid="{00000000-0005-0000-0000-000016000000}"/>
    <cellStyle name="Accent2 - 20%" xfId="24" xr:uid="{00000000-0005-0000-0000-000017000000}"/>
    <cellStyle name="Accent2 - 40%" xfId="25" xr:uid="{00000000-0005-0000-0000-000018000000}"/>
    <cellStyle name="Accent2 - 60%" xfId="26" xr:uid="{00000000-0005-0000-0000-000019000000}"/>
    <cellStyle name="Accent3" xfId="27" xr:uid="{00000000-0005-0000-0000-00001A000000}"/>
    <cellStyle name="Accent3 - 20%" xfId="28" xr:uid="{00000000-0005-0000-0000-00001B000000}"/>
    <cellStyle name="Accent3 - 40%" xfId="29" xr:uid="{00000000-0005-0000-0000-00001C000000}"/>
    <cellStyle name="Accent3 - 60%" xfId="30" xr:uid="{00000000-0005-0000-0000-00001D000000}"/>
    <cellStyle name="Accent4" xfId="31" xr:uid="{00000000-0005-0000-0000-00001E000000}"/>
    <cellStyle name="Accent4 - 20%" xfId="32" xr:uid="{00000000-0005-0000-0000-00001F000000}"/>
    <cellStyle name="Accent4 - 40%" xfId="33" xr:uid="{00000000-0005-0000-0000-000020000000}"/>
    <cellStyle name="Accent4 - 60%" xfId="34" xr:uid="{00000000-0005-0000-0000-000021000000}"/>
    <cellStyle name="Accent5" xfId="35" xr:uid="{00000000-0005-0000-0000-000022000000}"/>
    <cellStyle name="Accent5 - 20%" xfId="36" xr:uid="{00000000-0005-0000-0000-000023000000}"/>
    <cellStyle name="Accent5 - 40%" xfId="37" xr:uid="{00000000-0005-0000-0000-000024000000}"/>
    <cellStyle name="Accent5 - 60%" xfId="38" xr:uid="{00000000-0005-0000-0000-000025000000}"/>
    <cellStyle name="Accent6" xfId="39" xr:uid="{00000000-0005-0000-0000-000026000000}"/>
    <cellStyle name="Accent6 - 20%" xfId="40" xr:uid="{00000000-0005-0000-0000-000027000000}"/>
    <cellStyle name="Accent6 - 40%" xfId="41" xr:uid="{00000000-0005-0000-0000-000028000000}"/>
    <cellStyle name="Accent6 - 60%" xfId="42" xr:uid="{00000000-0005-0000-0000-000029000000}"/>
    <cellStyle name="Bad" xfId="43" xr:uid="{00000000-0005-0000-0000-00002A000000}"/>
    <cellStyle name="Calculation" xfId="44" xr:uid="{00000000-0005-0000-0000-00002B000000}"/>
    <cellStyle name="Check Cell" xfId="45" xr:uid="{00000000-0005-0000-0000-00002C000000}"/>
    <cellStyle name="Comma 2" xfId="46" xr:uid="{00000000-0005-0000-0000-00002D000000}"/>
    <cellStyle name="Comma 2 2" xfId="78" xr:uid="{00000000-0005-0000-0000-00002E000000}"/>
    <cellStyle name="Comma 3" xfId="47" xr:uid="{00000000-0005-0000-0000-00002F000000}"/>
    <cellStyle name="Comma 3 2" xfId="79" xr:uid="{00000000-0005-0000-0000-000030000000}"/>
    <cellStyle name="Currency 2" xfId="48" xr:uid="{00000000-0005-0000-0000-000031000000}"/>
    <cellStyle name="Currency 2 2" xfId="80" xr:uid="{00000000-0005-0000-0000-000032000000}"/>
    <cellStyle name="Emphasis 1" xfId="49" xr:uid="{00000000-0005-0000-0000-000033000000}"/>
    <cellStyle name="Emphasis 2" xfId="50" xr:uid="{00000000-0005-0000-0000-000034000000}"/>
    <cellStyle name="Emphasis 3" xfId="51" xr:uid="{00000000-0005-0000-0000-000035000000}"/>
    <cellStyle name="Euro" xfId="52" xr:uid="{00000000-0005-0000-0000-000036000000}"/>
    <cellStyle name="Euro 2" xfId="81" xr:uid="{00000000-0005-0000-0000-000037000000}"/>
    <cellStyle name="Excel Built-in Normal" xfId="77" xr:uid="{00000000-0005-0000-0000-000038000000}"/>
    <cellStyle name="Explanatory Text" xfId="53" xr:uid="{00000000-0005-0000-0000-000039000000}"/>
    <cellStyle name="Good" xfId="54" xr:uid="{00000000-0005-0000-0000-00003A000000}"/>
    <cellStyle name="Heading 1" xfId="55" xr:uid="{00000000-0005-0000-0000-00003B000000}"/>
    <cellStyle name="Heading 2" xfId="56" xr:uid="{00000000-0005-0000-0000-00003C000000}"/>
    <cellStyle name="Heading 3" xfId="57" xr:uid="{00000000-0005-0000-0000-00003D000000}"/>
    <cellStyle name="Heading 4" xfId="58" xr:uid="{00000000-0005-0000-0000-00003E000000}"/>
    <cellStyle name="Input" xfId="59" xr:uid="{00000000-0005-0000-0000-00003F000000}"/>
    <cellStyle name="Linked Cell" xfId="60" xr:uid="{00000000-0005-0000-0000-000040000000}"/>
    <cellStyle name="Neutral" xfId="61" xr:uid="{00000000-0005-0000-0000-000041000000}"/>
    <cellStyle name="Normal" xfId="0" builtinId="0"/>
    <cellStyle name="Normal 2" xfId="62" xr:uid="{00000000-0005-0000-0000-000043000000}"/>
    <cellStyle name="Normal 2 2" xfId="82" xr:uid="{00000000-0005-0000-0000-000044000000}"/>
    <cellStyle name="Normal 3" xfId="74" xr:uid="{00000000-0005-0000-0000-000045000000}"/>
    <cellStyle name="Normal 4" xfId="75" xr:uid="{00000000-0005-0000-0000-000046000000}"/>
    <cellStyle name="Normal_Opções" xfId="63" xr:uid="{00000000-0005-0000-0000-000047000000}"/>
    <cellStyle name="Note" xfId="64" xr:uid="{00000000-0005-0000-0000-000048000000}"/>
    <cellStyle name="Output" xfId="65" xr:uid="{00000000-0005-0000-0000-000049000000}"/>
    <cellStyle name="Percent 2" xfId="66" xr:uid="{00000000-0005-0000-0000-00004A000000}"/>
    <cellStyle name="Percent 2 2" xfId="83" xr:uid="{00000000-0005-0000-0000-00004B000000}"/>
    <cellStyle name="Percent 3" xfId="67" xr:uid="{00000000-0005-0000-0000-00004C000000}"/>
    <cellStyle name="Porcentagem" xfId="68" builtinId="5"/>
    <cellStyle name="Porcentagem 2" xfId="76" xr:uid="{00000000-0005-0000-0000-00004E000000}"/>
    <cellStyle name="Sheet Title" xfId="70" xr:uid="{00000000-0005-0000-0000-00004F000000}"/>
    <cellStyle name="Title" xfId="71" xr:uid="{00000000-0005-0000-0000-000050000000}"/>
    <cellStyle name="Total" xfId="72" builtinId="25" customBuiltin="1"/>
    <cellStyle name="Vírgula" xfId="69" builtinId="3"/>
    <cellStyle name="Vírgula 2" xfId="84" xr:uid="{00000000-0005-0000-0000-000053000000}"/>
    <cellStyle name="Warning Text" xfId="73" xr:uid="{00000000-0005-0000-0000-000054000000}"/>
  </cellStyles>
  <dxfs count="38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61D73FCE-3C45-4EB9-A7D4-0AA324F95784}">
      <tableStyleElement type="wholeTable" dxfId="37"/>
      <tableStyleElement type="headerRow" dxfId="36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000" i="1">
                <a:solidFill>
                  <a:schemeClr val="accent2"/>
                </a:solidFill>
              </a:rPr>
              <a:t>Estratégia de Opções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72484469592092"/>
          <c:y val="0.18549517943920432"/>
          <c:w val="0.78299199033428069"/>
          <c:h val="0.61859261910443064"/>
        </c:manualLayout>
      </c:layout>
      <c:lineChart>
        <c:grouping val="standard"/>
        <c:varyColors val="0"/>
        <c:ser>
          <c:idx val="1"/>
          <c:order val="0"/>
          <c:tx>
            <c:v>Estratégia Derivativos</c:v>
          </c:tx>
          <c:cat>
            <c:numRef>
              <c:f>'Estratégias de Opções'!$F$3:$L$3</c:f>
              <c:numCache>
                <c:formatCode>0.00</c:formatCode>
                <c:ptCount val="7"/>
                <c:pt idx="0">
                  <c:v>110</c:v>
                </c:pt>
                <c:pt idx="1">
                  <c:v>120</c:v>
                </c:pt>
                <c:pt idx="2">
                  <c:v>130</c:v>
                </c:pt>
                <c:pt idx="3">
                  <c:v>140</c:v>
                </c:pt>
                <c:pt idx="4">
                  <c:v>150</c:v>
                </c:pt>
                <c:pt idx="5">
                  <c:v>160</c:v>
                </c:pt>
                <c:pt idx="6">
                  <c:v>170</c:v>
                </c:pt>
              </c:numCache>
            </c:numRef>
          </c:cat>
          <c:val>
            <c:numRef>
              <c:f>'Estratégias de Opções'!$F$11:$L$11</c:f>
              <c:numCache>
                <c:formatCode>_(* #,##0.00_);_(* \(#,##0.00\);_(* "-"??_);_(@_)</c:formatCode>
                <c:ptCount val="7"/>
                <c:pt idx="0">
                  <c:v>-16</c:v>
                </c:pt>
                <c:pt idx="1">
                  <c:v>-6</c:v>
                </c:pt>
                <c:pt idx="2">
                  <c:v>4</c:v>
                </c:pt>
                <c:pt idx="3">
                  <c:v>4</c:v>
                </c:pt>
                <c:pt idx="4">
                  <c:v>-6</c:v>
                </c:pt>
                <c:pt idx="5">
                  <c:v>-16</c:v>
                </c:pt>
                <c:pt idx="6">
                  <c:v>-26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6-44B5-B012-9A4D84BAF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537344"/>
        <c:axId val="90563712"/>
      </c:lineChart>
      <c:catAx>
        <c:axId val="90537344"/>
        <c:scaling>
          <c:orientation val="minMax"/>
        </c:scaling>
        <c:delete val="0"/>
        <c:axPos val="b"/>
        <c:numFmt formatCode="#.#00" sourceLinked="0"/>
        <c:majorTickMark val="out"/>
        <c:minorTickMark val="none"/>
        <c:tickLblPos val="nextTo"/>
        <c:txPr>
          <a:bodyPr rot="0" vert="eaVert" anchor="b" anchorCtr="0"/>
          <a:lstStyle/>
          <a:p>
            <a:pPr>
              <a:defRPr/>
            </a:pPr>
            <a:endParaRPr lang="en-US"/>
          </a:p>
        </c:txPr>
        <c:crossAx val="90563712"/>
        <c:crosses val="autoZero"/>
        <c:auto val="1"/>
        <c:lblAlgn val="ctr"/>
        <c:lblOffset val="100"/>
        <c:tickMarkSkip val="1"/>
        <c:noMultiLvlLbl val="0"/>
      </c:catAx>
      <c:valAx>
        <c:axId val="90563712"/>
        <c:scaling>
          <c:orientation val="minMax"/>
        </c:scaling>
        <c:delete val="0"/>
        <c:axPos val="l"/>
        <c:majorGridlines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</c:spPr>
        </c:majorGridlines>
        <c:numFmt formatCode="###,000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053734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125" footer="0.3149606200000012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66674</xdr:colOff>
      <xdr:row>11</xdr:row>
      <xdr:rowOff>57150</xdr:rowOff>
    </xdr:from>
    <xdr:to>
      <xdr:col>12</xdr:col>
      <xdr:colOff>0</xdr:colOff>
      <xdr:row>26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13</xdr:row>
          <xdr:rowOff>28575</xdr:rowOff>
        </xdr:from>
        <xdr:to>
          <xdr:col>2</xdr:col>
          <xdr:colOff>19050</xdr:colOff>
          <xdr:row>14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mfhor/Google%20Drive/Control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Reservas"/>
      <sheetName val="PeHoMa"/>
      <sheetName val="Siena"/>
      <sheetName val="Mercado"/>
      <sheetName val="Metas"/>
      <sheetName val="Big Data"/>
      <sheetName val="Feriados"/>
    </sheetNames>
    <sheetDataSet>
      <sheetData sheetId="0">
        <row r="2">
          <cell r="AI2">
            <v>6</v>
          </cell>
          <cell r="AK2">
            <v>6</v>
          </cell>
        </row>
      </sheetData>
      <sheetData sheetId="1">
        <row r="4">
          <cell r="J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/>
  <dimension ref="A1:Q38"/>
  <sheetViews>
    <sheetView showGridLines="0" tabSelected="1" zoomScale="90" zoomScaleNormal="90" workbookViewId="0">
      <selection activeCell="D5" sqref="D5"/>
    </sheetView>
  </sheetViews>
  <sheetFormatPr defaultRowHeight="13.2" x14ac:dyDescent="0.25"/>
  <cols>
    <col min="1" max="1" width="0.44140625" customWidth="1"/>
    <col min="2" max="3" width="15.6640625" customWidth="1"/>
    <col min="4" max="4" width="12.6640625" customWidth="1"/>
    <col min="5" max="5" width="0.44140625" customWidth="1"/>
    <col min="6" max="6" width="12.6640625" style="2" customWidth="1"/>
    <col min="7" max="7" width="13.6640625" style="2" customWidth="1"/>
    <col min="8" max="8" width="13.6640625" customWidth="1"/>
    <col min="9" max="9" width="0.44140625" customWidth="1"/>
    <col min="10" max="10" width="8.44140625" bestFit="1" customWidth="1"/>
    <col min="11" max="11" width="12.109375" bestFit="1" customWidth="1"/>
    <col min="12" max="12" width="0.88671875" customWidth="1"/>
    <col min="13" max="13" width="37.109375" bestFit="1" customWidth="1"/>
    <col min="14" max="14" width="13.5546875" bestFit="1" customWidth="1"/>
    <col min="15" max="15" width="12.109375" bestFit="1" customWidth="1"/>
    <col min="16" max="16" width="15.6640625" bestFit="1" customWidth="1"/>
    <col min="17" max="17" width="13.5546875" bestFit="1" customWidth="1"/>
    <col min="18" max="18" width="0.88671875" customWidth="1"/>
  </cols>
  <sheetData>
    <row r="1" spans="1:17" ht="2.4" customHeight="1" thickBot="1" x14ac:dyDescent="0.45">
      <c r="A1" s="207"/>
      <c r="B1" s="1"/>
      <c r="C1" s="1"/>
    </row>
    <row r="2" spans="1:17" ht="23.4" thickBot="1" x14ac:dyDescent="0.45">
      <c r="B2" s="219" t="s">
        <v>132</v>
      </c>
      <c r="C2" s="220"/>
      <c r="D2" s="220"/>
      <c r="E2" s="220"/>
      <c r="F2" s="220"/>
      <c r="G2" s="220"/>
      <c r="H2" s="221"/>
      <c r="M2" s="205" t="s">
        <v>232</v>
      </c>
      <c r="N2" s="205" t="s">
        <v>233</v>
      </c>
      <c r="O2" s="205" t="s">
        <v>234</v>
      </c>
      <c r="P2" s="197" t="s">
        <v>235</v>
      </c>
      <c r="Q2" s="15" t="s">
        <v>236</v>
      </c>
    </row>
    <row r="3" spans="1:17" ht="2.4" customHeight="1" thickBot="1" x14ac:dyDescent="0.45">
      <c r="B3" s="27"/>
      <c r="C3" s="1"/>
      <c r="F3" s="4"/>
      <c r="G3" s="4"/>
      <c r="H3" s="5"/>
    </row>
    <row r="4" spans="1:17" ht="16.2" thickBot="1" x14ac:dyDescent="0.35">
      <c r="B4" s="222" t="s">
        <v>0</v>
      </c>
      <c r="C4" s="223"/>
      <c r="D4" s="224"/>
      <c r="E4" s="95"/>
      <c r="F4" s="225" t="s">
        <v>82</v>
      </c>
      <c r="G4" s="226"/>
      <c r="H4" s="227"/>
      <c r="J4" s="236" t="s">
        <v>258</v>
      </c>
      <c r="K4" s="236"/>
      <c r="M4" s="204" t="s">
        <v>237</v>
      </c>
      <c r="N4" s="204" t="s">
        <v>247</v>
      </c>
      <c r="O4" s="204" t="s">
        <v>113</v>
      </c>
      <c r="P4" s="204" t="s">
        <v>253</v>
      </c>
      <c r="Q4" s="203">
        <v>0</v>
      </c>
    </row>
    <row r="5" spans="1:17" x14ac:dyDescent="0.25">
      <c r="B5" s="89" t="s">
        <v>25</v>
      </c>
      <c r="C5" s="92"/>
      <c r="D5" s="218">
        <v>119.63607025146401</v>
      </c>
      <c r="F5" s="228" t="s">
        <v>79</v>
      </c>
      <c r="G5" s="229"/>
      <c r="H5" s="230"/>
      <c r="M5" s="202" t="s">
        <v>238</v>
      </c>
      <c r="N5" s="202" t="s">
        <v>35</v>
      </c>
      <c r="O5" s="202" t="s">
        <v>50</v>
      </c>
      <c r="P5" s="202" t="s">
        <v>254</v>
      </c>
      <c r="Q5" s="201">
        <v>0</v>
      </c>
    </row>
    <row r="6" spans="1:17" x14ac:dyDescent="0.25">
      <c r="B6" s="75" t="s">
        <v>26</v>
      </c>
      <c r="C6" s="91"/>
      <c r="D6" s="29">
        <v>110</v>
      </c>
      <c r="F6" s="101">
        <v>0.14737800000000001</v>
      </c>
      <c r="G6" s="98" t="s">
        <v>76</v>
      </c>
      <c r="H6" s="99" t="s">
        <v>77</v>
      </c>
      <c r="M6" s="202" t="s">
        <v>239</v>
      </c>
      <c r="N6" s="202" t="s">
        <v>248</v>
      </c>
      <c r="O6" s="202" t="s">
        <v>50</v>
      </c>
      <c r="P6" s="202" t="s">
        <v>254</v>
      </c>
      <c r="Q6" s="200" t="s">
        <v>251</v>
      </c>
    </row>
    <row r="7" spans="1:17" x14ac:dyDescent="0.25">
      <c r="B7" s="75" t="s">
        <v>148</v>
      </c>
      <c r="C7" s="91"/>
      <c r="D7" s="177">
        <v>2.5000000000000001E-2</v>
      </c>
      <c r="F7" s="44" t="s">
        <v>3</v>
      </c>
      <c r="G7" s="108">
        <f>GBlackScholes(F7,S,X,vol,i,T,q,tipo,modelo)</f>
        <v>0.79192178912612099</v>
      </c>
      <c r="H7" s="109">
        <f>(Binomial(S+0.0001,X,vol,i,T,q,n,tipo,estilo,modelo)-premioBinomial)/0.0001</f>
        <v>0.70370498322702701</v>
      </c>
      <c r="J7" t="str">
        <f>IF(ROUND(G7,6)=ROUND(K7,6),"OK","NO")</f>
        <v>OK</v>
      </c>
      <c r="K7" s="211" cm="1">
        <f t="array" ref="K7">py_gblackscholes(F7,S,X,vol,i,T,q,tipo,modelo,0,0)</f>
        <v>0.79192178912612099</v>
      </c>
      <c r="M7" s="202" t="s">
        <v>240</v>
      </c>
      <c r="N7" s="202" t="s">
        <v>35</v>
      </c>
      <c r="O7" s="202" t="s">
        <v>50</v>
      </c>
      <c r="P7" s="202" t="s">
        <v>255</v>
      </c>
      <c r="Q7" s="201">
        <v>0</v>
      </c>
    </row>
    <row r="8" spans="1:17" x14ac:dyDescent="0.25">
      <c r="B8" s="75" t="s">
        <v>81</v>
      </c>
      <c r="C8" s="91"/>
      <c r="D8" s="107">
        <v>0</v>
      </c>
      <c r="F8" s="44" t="s">
        <v>4</v>
      </c>
      <c r="G8" s="108">
        <f>GBlackScholes(F8,S,X,vol,i,T,q,tipo,modelo)</f>
        <v>1.6257348349499708E-2</v>
      </c>
      <c r="H8" s="109">
        <f>Binomial(S,X,vol,i,T,q,n,tipo,estilo,modelo,TRUE)</f>
        <v>1.7138201524261303E-2</v>
      </c>
      <c r="J8" t="str">
        <f t="shared" ref="J8:J13" si="0">IF(ROUND(G8,6)=ROUND(K8,6),"OK","NO")</f>
        <v>OK</v>
      </c>
      <c r="K8" s="211" cm="1">
        <f t="array" ref="K8">py_gblackscholes(F8,S,X,vol,i,T,q,tipo,modelo,0,0)</f>
        <v>1.6257348349499701E-2</v>
      </c>
      <c r="M8" s="202" t="s">
        <v>241</v>
      </c>
      <c r="N8" s="202" t="s">
        <v>247</v>
      </c>
      <c r="O8" s="202" t="s">
        <v>250</v>
      </c>
      <c r="P8" s="202" t="s">
        <v>254</v>
      </c>
      <c r="Q8" s="201">
        <v>0</v>
      </c>
    </row>
    <row r="9" spans="1:17" x14ac:dyDescent="0.25">
      <c r="B9" s="75" t="s">
        <v>27</v>
      </c>
      <c r="C9" s="91"/>
      <c r="D9" s="175">
        <v>43027</v>
      </c>
      <c r="F9" s="44" t="s">
        <v>6</v>
      </c>
      <c r="G9" s="108">
        <f>GBlackScholes(F9,S,X,vol,i,T,q,tipo,modelo)</f>
        <v>-4.5311119309703738</v>
      </c>
      <c r="H9" s="109">
        <f>((premioBinomial-Binomial(S,X,vol,i,T+0.0001,q,n,tipo,estilo,modelo))/0.0001)</f>
        <v>-4.9305466475857429</v>
      </c>
      <c r="J9" t="str">
        <f t="shared" si="0"/>
        <v>OK</v>
      </c>
      <c r="K9" s="211">
        <f>py_gblackscholes(F9,S,X,vol,i,T,q,tipo,modelo,0,0)</f>
        <v>-4.5311119309703729</v>
      </c>
      <c r="M9" s="202" t="s">
        <v>242</v>
      </c>
      <c r="N9" s="202" t="s">
        <v>247</v>
      </c>
      <c r="O9" s="202" t="s">
        <v>250</v>
      </c>
      <c r="P9" s="202" t="s">
        <v>255</v>
      </c>
      <c r="Q9" s="201">
        <v>0</v>
      </c>
    </row>
    <row r="10" spans="1:17" x14ac:dyDescent="0.25">
      <c r="B10" s="75" t="s">
        <v>72</v>
      </c>
      <c r="C10" s="91"/>
      <c r="D10" s="175">
        <f>D9+360</f>
        <v>43387</v>
      </c>
      <c r="F10" s="44" t="s">
        <v>5</v>
      </c>
      <c r="G10" s="108">
        <f>GBlackScholes(F10,S,X,vol,i,T,q,tipo,modelo)</f>
        <v>34.293092298013477</v>
      </c>
      <c r="H10" s="109">
        <f>((Binomial(S,X,vol+0.0001,i,T,q,n,tipo,estilo,modelo)-premioBinomial)/0.0001)</f>
        <v>39.507202597270918</v>
      </c>
      <c r="J10" t="str">
        <f t="shared" si="0"/>
        <v>OK</v>
      </c>
      <c r="K10" s="211">
        <f>py_gblackscholes(F10,S,X,vol,i,T,q,tipo,modelo,0,0)</f>
        <v>34.293092298013462</v>
      </c>
      <c r="M10" s="202" t="s">
        <v>244</v>
      </c>
      <c r="N10" s="202" t="s">
        <v>247</v>
      </c>
      <c r="O10" s="202" t="s">
        <v>113</v>
      </c>
      <c r="P10" s="202" t="s">
        <v>254</v>
      </c>
      <c r="Q10" s="201">
        <v>0</v>
      </c>
    </row>
    <row r="11" spans="1:17" x14ac:dyDescent="0.25">
      <c r="B11" s="234" t="s">
        <v>24</v>
      </c>
      <c r="C11" s="235"/>
      <c r="D11" s="174" t="s">
        <v>142</v>
      </c>
      <c r="F11" s="44" t="s">
        <v>83</v>
      </c>
      <c r="G11" s="108">
        <f>(GBlackScholes(F10,S,X,vol+0.0001,i,T,q,tipo,modelo)-GBlackScholes(F10,S,X,vol,i,T,q,tipo,modelo))/0.0001</f>
        <v>125.84955545065668</v>
      </c>
      <c r="H11" s="109">
        <f>(Binomial(S,X,vol+0.0001*2,i,T,q,n,tipo,estilo,modelo) - 2* Binomial(S,X,vol+0.0001,i,T,q,n,tipo,estilo,modelo)+premioBinomial)/(0.0001^2)</f>
        <v>59.049360423557573</v>
      </c>
      <c r="J11" s="208" t="str">
        <f>IF(ROUND(G11,6)=ROUND(K11,6),"OK","NO")</f>
        <v>OK</v>
      </c>
      <c r="K11" s="211">
        <f>(py_gblackscholes(F10,S,X,vol+0.0001,i,T,q,tipo,modelo,0,0)-py_gblackscholes(F10,S,X,vol,i,T,q,tipo,modelo,0,0))/0.0001</f>
        <v>125.84955545065668</v>
      </c>
      <c r="M11" s="202" t="s">
        <v>245</v>
      </c>
      <c r="N11" s="202" t="s">
        <v>247</v>
      </c>
      <c r="O11" s="202" t="s">
        <v>113</v>
      </c>
      <c r="P11" s="202" t="s">
        <v>254</v>
      </c>
      <c r="Q11" s="201">
        <v>0</v>
      </c>
    </row>
    <row r="12" spans="1:17" x14ac:dyDescent="0.25">
      <c r="B12" s="75" t="s">
        <v>71</v>
      </c>
      <c r="C12" s="91"/>
      <c r="D12" s="30">
        <v>1</v>
      </c>
      <c r="F12" s="44" t="s">
        <v>23</v>
      </c>
      <c r="G12" s="108">
        <f>GBlackScholes(F12,S,X,vol,i,T,q,tipo,modelo)</f>
        <v>80.163530104882355</v>
      </c>
      <c r="H12" s="109">
        <f>((Binomial(S,X,vol,IF(D11="onshore",(i ^ (1/T) + 0.0001) ^ T,1 + (((i - 1) * (1 / T)) + 0.0001) * T),T,q,n,tipo,estilo,modelo)-premioBinomial)/0.0001)</f>
        <v>80.791614933310996</v>
      </c>
      <c r="J12" t="str">
        <f t="shared" si="0"/>
        <v>OK</v>
      </c>
      <c r="K12" s="211">
        <f>py_gblackscholes(F12,S,X,vol,i,T,q,tipo,modelo,0,0)</f>
        <v>80.163530104882355</v>
      </c>
      <c r="M12" s="202" t="s">
        <v>246</v>
      </c>
      <c r="N12" s="202" t="s">
        <v>247</v>
      </c>
      <c r="O12" s="202" t="s">
        <v>113</v>
      </c>
      <c r="P12" s="202" t="s">
        <v>254</v>
      </c>
      <c r="Q12" s="201">
        <v>0</v>
      </c>
    </row>
    <row r="13" spans="1:17" ht="13.8" thickBot="1" x14ac:dyDescent="0.3">
      <c r="B13" s="75" t="s">
        <v>147</v>
      </c>
      <c r="C13" s="91"/>
      <c r="D13" s="177">
        <v>0</v>
      </c>
      <c r="F13" s="100" t="s">
        <v>74</v>
      </c>
      <c r="G13" s="111">
        <f>GBlackScholes(F13,S,X,vol,i,T,q,tipo,modelo)</f>
        <v>-94.742410797557667</v>
      </c>
      <c r="H13" s="112">
        <f>IF(q&lt;&gt;0,((Binomial(S,X,vol,i,T,IF(D11="onshore",(q ^ (1/T) + 0.0001) ^ T,1 + (((q - 1) * (1 / T)) + 0.0001) * T),n,tipo,estilo,modelo)-premioBinomial)/0.0001),0)</f>
        <v>0</v>
      </c>
      <c r="J13" t="str">
        <f t="shared" si="0"/>
        <v>OK</v>
      </c>
      <c r="K13" s="211">
        <f>py_gblackscholes(F13,S,X,vol,i,T,q,tipo,modelo,0,0)</f>
        <v>-94.742410797557667</v>
      </c>
      <c r="M13" s="199" t="s">
        <v>243</v>
      </c>
      <c r="N13" s="199" t="s">
        <v>248</v>
      </c>
      <c r="O13" s="199" t="s">
        <v>249</v>
      </c>
      <c r="P13" s="199" t="s">
        <v>254</v>
      </c>
      <c r="Q13" s="198" t="s">
        <v>252</v>
      </c>
    </row>
    <row r="14" spans="1:17" x14ac:dyDescent="0.25">
      <c r="B14" s="75" t="s">
        <v>73</v>
      </c>
      <c r="C14" s="91"/>
      <c r="D14" s="174" t="s">
        <v>257</v>
      </c>
      <c r="F14" s="231" t="s">
        <v>80</v>
      </c>
      <c r="G14" s="232"/>
      <c r="H14" s="233"/>
      <c r="M14" s="207" t="s">
        <v>256</v>
      </c>
    </row>
    <row r="15" spans="1:17" x14ac:dyDescent="0.25">
      <c r="B15" s="90" t="s">
        <v>28</v>
      </c>
      <c r="C15" s="103"/>
      <c r="D15" s="149" t="s">
        <v>89</v>
      </c>
      <c r="F15" s="102">
        <f>VolImplicita(p,S,X,i,T,q,tipo,modelo)</f>
        <v>0.1</v>
      </c>
      <c r="G15" s="98" t="s">
        <v>76</v>
      </c>
      <c r="H15" s="99" t="s">
        <v>77</v>
      </c>
      <c r="J15" s="106"/>
      <c r="M15" s="206"/>
    </row>
    <row r="16" spans="1:17" x14ac:dyDescent="0.25">
      <c r="B16" s="241" t="s">
        <v>88</v>
      </c>
      <c r="C16" s="242"/>
      <c r="D16" s="31">
        <v>0</v>
      </c>
      <c r="F16" s="44" t="s">
        <v>3</v>
      </c>
      <c r="G16" s="108">
        <f>GBlackScholes(F16,S,X,$F$15,i,T,q,tipo,modelo)</f>
        <v>0.8728027251136764</v>
      </c>
      <c r="H16" s="109">
        <f>(Binomial(S+0.0001,X,volImp,i,T,q,n,tipo,estilo,modelo)-Binomial(S,X,volImp,i,T,q,n,tipo,estilo,modelo))/0.0001</f>
        <v>0.87887505824113532</v>
      </c>
      <c r="J16" t="str">
        <f t="shared" ref="J16:J22" si="1">IF(ROUND(G16,6)=ROUND(K16,6),"OK","NO")</f>
        <v>OK</v>
      </c>
      <c r="K16" s="211">
        <f>py_gblackscholes(F16,S,X,volImp,i,T,q,tipo,modelo,0,0)</f>
        <v>0.87280272511367629</v>
      </c>
      <c r="M16" s="106"/>
    </row>
    <row r="17" spans="2:13" ht="12.75" customHeight="1" thickBot="1" x14ac:dyDescent="0.3">
      <c r="B17" s="243" t="s">
        <v>78</v>
      </c>
      <c r="C17" s="244"/>
      <c r="D17" s="209">
        <v>50</v>
      </c>
      <c r="F17" s="44" t="s">
        <v>4</v>
      </c>
      <c r="G17" s="108">
        <f>GBlackScholes(F17,S,X,$F$15,i,T,q,tipo,modelo)</f>
        <v>1.7416944932002874E-2</v>
      </c>
      <c r="H17" s="110">
        <f>Binomial(S,X,volImp,i,T,q,n,tipo,estilo,modelo,TRUE)</f>
        <v>1.8265154127493285E-2</v>
      </c>
      <c r="J17" t="str">
        <f t="shared" si="1"/>
        <v>OK</v>
      </c>
      <c r="K17" s="211">
        <f>py_gblackscholes(F17,S,X,volImp,i,T,q,tipo,modelo,0,0)</f>
        <v>1.7416944932002867E-2</v>
      </c>
      <c r="M17" s="105"/>
    </row>
    <row r="18" spans="2:13" ht="13.5" customHeight="1" x14ac:dyDescent="0.25">
      <c r="B18" s="89" t="s">
        <v>75</v>
      </c>
      <c r="C18" s="92"/>
      <c r="D18" s="94">
        <v>12</v>
      </c>
      <c r="F18" s="44" t="s">
        <v>6</v>
      </c>
      <c r="G18" s="108">
        <f>GBlackScholes(F18,S,X,$F$15,i,T,q,tipo,modelo)</f>
        <v>-3.5282766305821598</v>
      </c>
      <c r="H18" s="109">
        <f>((Binomial(S,X,volImp,i,T,q,n,tipo,estilo,modelo)-Binomial(S,X,volImp,i,T+0.0001,q,n,tipo,estilo,modelo))/0.0001)</f>
        <v>-3.5129207159911857</v>
      </c>
      <c r="J18" t="str">
        <f t="shared" si="1"/>
        <v>OK</v>
      </c>
      <c r="K18" s="211" cm="1">
        <f t="array" ref="K18">py_gblackscholes(F18,S,X,volImp,i,T,q,tipo,modelo,0,0)</f>
        <v>-3.5282766305821589</v>
      </c>
    </row>
    <row r="19" spans="2:13" ht="13.5" customHeight="1" x14ac:dyDescent="0.25">
      <c r="B19" s="239" t="s">
        <v>84</v>
      </c>
      <c r="C19" s="240"/>
      <c r="D19" s="31">
        <v>0</v>
      </c>
      <c r="F19" s="44" t="s">
        <v>5</v>
      </c>
      <c r="G19" s="108">
        <f>GBlackScholes(F19,S,X,$F$15,i,T,q,tipo,modelo)</f>
        <v>24.928506315225857</v>
      </c>
      <c r="H19" s="109">
        <f>((Binomial(S,X,volImp+0.0001,i,T,q,n,tipo,estilo,modelo)-Binomial(S,X,volImp,i,T,q,n,tipo,estilo,modelo))/0.0001)</f>
        <v>24.867584058441139</v>
      </c>
      <c r="J19" t="str">
        <f t="shared" si="1"/>
        <v>OK</v>
      </c>
      <c r="K19" s="211">
        <f>py_gblackscholes(F19,S,X,volImp,i,T,q,tipo,modelo,0,0)</f>
        <v>24.928506315225846</v>
      </c>
    </row>
    <row r="20" spans="2:13" ht="13.5" customHeight="1" x14ac:dyDescent="0.25">
      <c r="B20" s="237" t="s">
        <v>85</v>
      </c>
      <c r="C20" s="238"/>
      <c r="D20" s="113">
        <f>Binomial(S,X,vol,i,T,q,n,tipo,estilo,modelo)</f>
        <v>14.478936243043011</v>
      </c>
      <c r="F20" s="44" t="s">
        <v>83</v>
      </c>
      <c r="G20" s="108">
        <f>(GBlackScholes(F19,S,X,volImp+0.0001,i,T,q,tipo,modelo)-GBlackScholes(F19,S,X,volImp,i,T,q,tipo,modelo))/0.0001</f>
        <v>295.14201454720279</v>
      </c>
      <c r="H20" s="109">
        <f>(Binomial(S,X,vol+0.0001*2,i,T,q,n,tipo,estilo,modelo) - 2* Binomial(S,X,vol+0.0001,i,T,q,n,tipo,estilo,modelo)+premioBinomial)/(0.0001^2)</f>
        <v>59.049360423557573</v>
      </c>
      <c r="J20" t="str">
        <f t="shared" si="1"/>
        <v>OK</v>
      </c>
      <c r="K20" s="211">
        <f>(py_gblackscholes(F19,S,X,volImp+0.0001,i,T,q,tipo,modelo,0,0)-py_gblackscholes(F19,S,X,volImp,i,T,q,tipo,modelo,0,0))/0.0001</f>
        <v>295.14201454720279</v>
      </c>
    </row>
    <row r="21" spans="2:13" s="97" customFormat="1" ht="13.5" customHeight="1" x14ac:dyDescent="0.25">
      <c r="B21" s="75" t="s">
        <v>86</v>
      </c>
      <c r="C21" s="91"/>
      <c r="D21" s="114">
        <f>GBlackScholes("Premio",S,X,vol,i,T,q,tipo,modelo,H,barreira)</f>
        <v>14.578880692675313</v>
      </c>
      <c r="E21"/>
      <c r="F21" s="44" t="s">
        <v>23</v>
      </c>
      <c r="G21" s="108">
        <f>GBlackScholes(F21,S,X,$F$15,i,T,q,tipo,modelo)</f>
        <v>91.274052592834664</v>
      </c>
      <c r="H21" s="109">
        <f>((Binomial(S,X,volImp,IF(D11="onshore",(i ^ (1/T) + 0.0001) ^ T,1 + (((i - 1) * (1 / T)) + 0.0001) * T),T,q,n,tipo,estilo,modelo)-Binomial(S,X,volImp,i,T,q,n,tipo,estilo,modelo))/0.0001)</f>
        <v>90.802734040131838</v>
      </c>
      <c r="I21"/>
      <c r="J21" t="str">
        <f t="shared" si="1"/>
        <v>OK</v>
      </c>
      <c r="K21" s="211">
        <f>py_gblackscholes(F21,S,X,volImp,i,T,q,tipo,modelo,0,0)</f>
        <v>91.27405259283465</v>
      </c>
    </row>
    <row r="22" spans="2:13" ht="12.75" customHeight="1" thickBot="1" x14ac:dyDescent="0.3">
      <c r="B22" s="76" t="s">
        <v>87</v>
      </c>
      <c r="C22" s="93"/>
      <c r="D22" s="115" t="str">
        <f>IF(tipo="call",IF(S&gt;X*1.25,"DITM",IF(S&gt;X*1.01,"ITM",IF(S&lt;X*1.01,"OTM","ATM"))),IF(S&lt;X*1.25,"DITM",IF(S&lt;X*1.01,"ITM",IF(S&gt;X*1.01,"OTM","ATM"))))</f>
        <v>ITM</v>
      </c>
      <c r="E22" s="81"/>
      <c r="F22" s="100" t="s">
        <v>74</v>
      </c>
      <c r="G22" s="111">
        <f>GBlackScholes(F22,S,X,$F$15,i,T,q,tipo,modelo)</f>
        <v>-104.41868813736902</v>
      </c>
      <c r="H22" s="112">
        <f>IF(q&lt;&gt;0,((Binomial(S,X,volImp,i,T,IF(D11="onshore",(q ^ (1/T) + 0.0001) ^ T,1 + (((q - 1) * (1 / T)) + 0.0001) * T),n,tipo,estilo,modelo)-Binomial(S,X,volImp,i,T,q,n,tipo,estilo,modelo))/0.0001),0)</f>
        <v>0</v>
      </c>
      <c r="J22" t="str">
        <f t="shared" si="1"/>
        <v>OK</v>
      </c>
      <c r="K22" s="211">
        <f>py_gblackscholes(F22,S,X,volImp,i,T,q,tipo,modelo,0,0)</f>
        <v>-104.418688137369</v>
      </c>
    </row>
    <row r="23" spans="2:13" ht="5.0999999999999996" customHeight="1" x14ac:dyDescent="0.25">
      <c r="D23" s="210"/>
      <c r="F23"/>
    </row>
    <row r="24" spans="2:13" x14ac:dyDescent="0.25">
      <c r="B24" s="212"/>
      <c r="C24" s="213" t="s">
        <v>259</v>
      </c>
      <c r="D24" s="211">
        <f>py_gblackscholes("Premio",S,X,vol,i,T,q,tipo,modelo,H,barreira)</f>
        <v>14.578880692675313</v>
      </c>
      <c r="F24" t="str">
        <f>IF(ROUND(premioBSchiles,6)=ROUND(D24,6),"OK","NO")</f>
        <v>OK</v>
      </c>
    </row>
    <row r="25" spans="2:13" ht="5.0999999999999996" customHeight="1" x14ac:dyDescent="0.25">
      <c r="D25" s="210"/>
      <c r="F25"/>
    </row>
    <row r="26" spans="2:13" x14ac:dyDescent="0.25">
      <c r="B26" s="116" t="s">
        <v>231</v>
      </c>
      <c r="D26" s="176"/>
    </row>
    <row r="27" spans="2:13" x14ac:dyDescent="0.25">
      <c r="B27" s="116" t="s">
        <v>229</v>
      </c>
    </row>
    <row r="28" spans="2:13" x14ac:dyDescent="0.25">
      <c r="B28" s="116" t="s">
        <v>230</v>
      </c>
    </row>
    <row r="29" spans="2:13" x14ac:dyDescent="0.25">
      <c r="B29" s="88"/>
      <c r="C29" s="88"/>
      <c r="D29" s="148"/>
    </row>
    <row r="30" spans="2:13" x14ac:dyDescent="0.25">
      <c r="B30" s="84"/>
      <c r="C30" s="84"/>
    </row>
    <row r="31" spans="2:13" x14ac:dyDescent="0.25">
      <c r="D31" s="78"/>
    </row>
    <row r="34" spans="2:3" x14ac:dyDescent="0.25">
      <c r="B34" s="85"/>
      <c r="C34" s="85"/>
    </row>
    <row r="35" spans="2:3" x14ac:dyDescent="0.25">
      <c r="B35" s="86"/>
      <c r="C35" s="86"/>
    </row>
    <row r="38" spans="2:3" x14ac:dyDescent="0.25">
      <c r="B38" s="87"/>
      <c r="C38" s="87"/>
    </row>
  </sheetData>
  <mergeCells count="11">
    <mergeCell ref="J4:K4"/>
    <mergeCell ref="B20:C20"/>
    <mergeCell ref="B19:C19"/>
    <mergeCell ref="B16:C16"/>
    <mergeCell ref="B17:C17"/>
    <mergeCell ref="B2:H2"/>
    <mergeCell ref="B4:D4"/>
    <mergeCell ref="F4:H4"/>
    <mergeCell ref="F5:H5"/>
    <mergeCell ref="F14:H14"/>
    <mergeCell ref="B11:C11"/>
  </mergeCells>
  <phoneticPr fontId="0" type="noConversion"/>
  <conditionalFormatting sqref="F24:F25">
    <cfRule type="cellIs" dxfId="35" priority="33" operator="notEqual">
      <formula>"OK"</formula>
    </cfRule>
    <cfRule type="cellIs" dxfId="34" priority="34" operator="equal">
      <formula>"OK"</formula>
    </cfRule>
  </conditionalFormatting>
  <conditionalFormatting sqref="J7">
    <cfRule type="cellIs" dxfId="33" priority="31" operator="notEqual">
      <formula>"OK"</formula>
    </cfRule>
    <cfRule type="cellIs" dxfId="32" priority="32" operator="equal">
      <formula>"OK"</formula>
    </cfRule>
  </conditionalFormatting>
  <conditionalFormatting sqref="J8">
    <cfRule type="cellIs" dxfId="31" priority="29" operator="notEqual">
      <formula>"OK"</formula>
    </cfRule>
    <cfRule type="cellIs" dxfId="30" priority="30" operator="equal">
      <formula>"OK"</formula>
    </cfRule>
  </conditionalFormatting>
  <conditionalFormatting sqref="J9">
    <cfRule type="cellIs" dxfId="29" priority="27" operator="notEqual">
      <formula>"OK"</formula>
    </cfRule>
    <cfRule type="cellIs" dxfId="28" priority="28" operator="equal">
      <formula>"OK"</formula>
    </cfRule>
  </conditionalFormatting>
  <conditionalFormatting sqref="J10">
    <cfRule type="cellIs" dxfId="27" priority="25" operator="notEqual">
      <formula>"OK"</formula>
    </cfRule>
    <cfRule type="cellIs" dxfId="26" priority="26" operator="equal">
      <formula>"OK"</formula>
    </cfRule>
  </conditionalFormatting>
  <conditionalFormatting sqref="J11">
    <cfRule type="cellIs" dxfId="25" priority="23" operator="notEqual">
      <formula>"OK"</formula>
    </cfRule>
    <cfRule type="cellIs" dxfId="24" priority="24" operator="equal">
      <formula>"OK"</formula>
    </cfRule>
  </conditionalFormatting>
  <conditionalFormatting sqref="J12">
    <cfRule type="cellIs" dxfId="23" priority="21" operator="notEqual">
      <formula>"OK"</formula>
    </cfRule>
    <cfRule type="cellIs" dxfId="22" priority="22" operator="equal">
      <formula>"OK"</formula>
    </cfRule>
  </conditionalFormatting>
  <conditionalFormatting sqref="J13">
    <cfRule type="cellIs" dxfId="21" priority="19" operator="notEqual">
      <formula>"OK"</formula>
    </cfRule>
    <cfRule type="cellIs" dxfId="20" priority="20" operator="equal">
      <formula>"OK"</formula>
    </cfRule>
  </conditionalFormatting>
  <conditionalFormatting sqref="J16">
    <cfRule type="cellIs" dxfId="19" priority="17" operator="notEqual">
      <formula>"OK"</formula>
    </cfRule>
    <cfRule type="cellIs" dxfId="18" priority="18" operator="equal">
      <formula>"OK"</formula>
    </cfRule>
  </conditionalFormatting>
  <conditionalFormatting sqref="J17">
    <cfRule type="cellIs" dxfId="17" priority="15" operator="notEqual">
      <formula>"OK"</formula>
    </cfRule>
    <cfRule type="cellIs" dxfId="16" priority="16" operator="equal">
      <formula>"OK"</formula>
    </cfRule>
  </conditionalFormatting>
  <conditionalFormatting sqref="J18">
    <cfRule type="cellIs" dxfId="15" priority="13" operator="notEqual">
      <formula>"OK"</formula>
    </cfRule>
    <cfRule type="cellIs" dxfId="14" priority="14" operator="equal">
      <formula>"OK"</formula>
    </cfRule>
  </conditionalFormatting>
  <conditionalFormatting sqref="J19">
    <cfRule type="cellIs" dxfId="13" priority="11" operator="notEqual">
      <formula>"OK"</formula>
    </cfRule>
    <cfRule type="cellIs" dxfId="12" priority="12" operator="equal">
      <formula>"OK"</formula>
    </cfRule>
  </conditionalFormatting>
  <conditionalFormatting sqref="F23">
    <cfRule type="cellIs" dxfId="11" priority="7" operator="notEqual">
      <formula>"OK"</formula>
    </cfRule>
    <cfRule type="cellIs" dxfId="10" priority="8" operator="equal">
      <formula>"OK"</formula>
    </cfRule>
  </conditionalFormatting>
  <conditionalFormatting sqref="J21">
    <cfRule type="cellIs" dxfId="9" priority="5" operator="notEqual">
      <formula>"OK"</formula>
    </cfRule>
    <cfRule type="cellIs" dxfId="8" priority="6" operator="equal">
      <formula>"OK"</formula>
    </cfRule>
  </conditionalFormatting>
  <conditionalFormatting sqref="J22">
    <cfRule type="cellIs" dxfId="7" priority="3" operator="notEqual">
      <formula>"OK"</formula>
    </cfRule>
    <cfRule type="cellIs" dxfId="6" priority="4" operator="equal">
      <formula>"OK"</formula>
    </cfRule>
  </conditionalFormatting>
  <conditionalFormatting sqref="J20">
    <cfRule type="cellIs" dxfId="5" priority="1" operator="notEqual">
      <formula>"OK"</formula>
    </cfRule>
    <cfRule type="cellIs" dxfId="4" priority="2" operator="equal">
      <formula>"OK"</formula>
    </cfRule>
  </conditionalFormatting>
  <dataValidations xWindow="301" yWindow="487" count="5">
    <dataValidation type="list" allowBlank="1" showInputMessage="1" showErrorMessage="1" promptTitle="Tipos de Barreiras" prompt="   0: Não se aplica_x000a_   1: Down and In_x000a_   2: Down and Out_x000a_   3: Up and In_x000a_   4: Up and Out" sqref="D16" xr:uid="{00000000-0002-0000-0000-000000000000}">
      <formula1>"0,1,2,3,4"</formula1>
    </dataValidation>
    <dataValidation type="list" allowBlank="1" showInputMessage="1" showErrorMessage="1" sqref="D15" xr:uid="{00000000-0002-0000-0000-000001000000}">
      <formula1>"call,put"</formula1>
    </dataValidation>
    <dataValidation type="list" allowBlank="1" showInputMessage="1" showErrorMessage="1" sqref="D14" xr:uid="{00000000-0002-0000-0000-000002000000}">
      <formula1>"americana,europeia"</formula1>
    </dataValidation>
    <dataValidation type="list" allowBlank="1" showInputMessage="1" showErrorMessage="1" sqref="D11" xr:uid="{00000000-0002-0000-0000-000003000000}">
      <formula1>"onshore,offshore"</formula1>
    </dataValidation>
    <dataValidation type="list" allowBlank="1" showInputMessage="1" showErrorMessage="1" promptTitle="Modelo de Apreçamento" prompt="Modelo Binomial (Americana)_x000a_   0: Hull (padrão)_x000a_   1: Wilmott Prob. Fixa_x000a_   2: Wilmott Prob. Variável_x000a__x000a_Generalized Black Scholes (Européia)_x000a_   0: Black Scholes_x000a_   1: Merton \ Garman_x000a_   2: Black" sqref="D19" xr:uid="{00000000-0002-0000-0000-000004000000}">
      <formula1>"0,1,2"</formula1>
    </dataValidation>
  </dataValidations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  <ignoredErrors>
    <ignoredError sqref="G11 G20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B1:AJ27"/>
  <sheetViews>
    <sheetView showGridLines="0" workbookViewId="0">
      <selection activeCell="P18" sqref="P18"/>
    </sheetView>
  </sheetViews>
  <sheetFormatPr defaultColWidth="9.109375" defaultRowHeight="13.2" x14ac:dyDescent="0.25"/>
  <cols>
    <col min="1" max="1" width="0.88671875" style="116" customWidth="1"/>
    <col min="2" max="2" width="11.44140625" style="116" bestFit="1" customWidth="1"/>
    <col min="3" max="11" width="7.6640625" style="116" customWidth="1"/>
    <col min="12" max="12" width="6.6640625" style="116" customWidth="1"/>
    <col min="13" max="14" width="1" style="116" customWidth="1"/>
    <col min="15" max="15" width="6.6640625" customWidth="1"/>
    <col min="16" max="16" width="3.6640625" customWidth="1"/>
    <col min="17" max="17" width="32.33203125" bestFit="1" customWidth="1"/>
    <col min="18" max="33" width="6.6640625" customWidth="1"/>
    <col min="34" max="34" width="8.6640625" customWidth="1"/>
    <col min="35" max="36" width="6.6640625" customWidth="1"/>
    <col min="37" max="16384" width="9.109375" style="116"/>
  </cols>
  <sheetData>
    <row r="1" spans="2:36" ht="12" customHeight="1" x14ac:dyDescent="0.25">
      <c r="B1" s="253" t="str">
        <f>"Estratégia: "&amp; VLOOKUP("X",$P$1:$AJ$24,2,0)</f>
        <v>Estratégia: Strangle - Venda de Volatilidade</v>
      </c>
      <c r="C1" s="253"/>
      <c r="D1" s="253"/>
      <c r="E1" s="253"/>
      <c r="F1" s="253"/>
      <c r="G1" s="253"/>
      <c r="H1" s="253"/>
      <c r="I1" s="253"/>
      <c r="J1" s="253"/>
      <c r="K1" s="253"/>
      <c r="L1" s="253"/>
      <c r="O1" s="259" t="s">
        <v>112</v>
      </c>
      <c r="P1" s="259" t="s">
        <v>70</v>
      </c>
      <c r="Q1" s="263" t="s">
        <v>92</v>
      </c>
      <c r="R1" s="262" t="s">
        <v>108</v>
      </c>
      <c r="S1" s="262"/>
      <c r="T1" s="262"/>
      <c r="U1" s="262"/>
      <c r="V1" s="262" t="s">
        <v>108</v>
      </c>
      <c r="W1" s="262"/>
      <c r="X1" s="262"/>
      <c r="Y1" s="262"/>
      <c r="Z1" s="262" t="s">
        <v>108</v>
      </c>
      <c r="AA1" s="262"/>
      <c r="AB1" s="262"/>
      <c r="AC1" s="262"/>
      <c r="AD1" s="262" t="s">
        <v>108</v>
      </c>
      <c r="AE1" s="262"/>
      <c r="AF1" s="262"/>
      <c r="AG1" s="262"/>
      <c r="AH1" s="262" t="s">
        <v>101</v>
      </c>
      <c r="AI1" s="262"/>
      <c r="AJ1" s="262"/>
    </row>
    <row r="2" spans="2:36" ht="12" customHeight="1" thickBot="1" x14ac:dyDescent="0.3">
      <c r="B2" s="253"/>
      <c r="C2" s="253"/>
      <c r="D2" s="253"/>
      <c r="E2" s="253"/>
      <c r="F2" s="253"/>
      <c r="G2" s="253"/>
      <c r="H2" s="253"/>
      <c r="I2" s="253"/>
      <c r="J2" s="253"/>
      <c r="K2" s="253"/>
      <c r="L2" s="253"/>
      <c r="O2" s="259"/>
      <c r="P2" s="259"/>
      <c r="Q2" s="263"/>
      <c r="R2" s="130" t="s">
        <v>109</v>
      </c>
      <c r="S2" s="130" t="s">
        <v>95</v>
      </c>
      <c r="T2" s="130" t="s">
        <v>93</v>
      </c>
      <c r="U2" s="130" t="s">
        <v>48</v>
      </c>
      <c r="V2" s="130" t="s">
        <v>109</v>
      </c>
      <c r="W2" s="130" t="s">
        <v>95</v>
      </c>
      <c r="X2" s="130" t="s">
        <v>93</v>
      </c>
      <c r="Y2" s="130" t="s">
        <v>48</v>
      </c>
      <c r="Z2" s="130" t="s">
        <v>109</v>
      </c>
      <c r="AA2" s="130" t="s">
        <v>95</v>
      </c>
      <c r="AB2" s="130" t="s">
        <v>93</v>
      </c>
      <c r="AC2" s="130" t="s">
        <v>48</v>
      </c>
      <c r="AD2" s="130" t="s">
        <v>109</v>
      </c>
      <c r="AE2" s="130" t="s">
        <v>95</v>
      </c>
      <c r="AF2" s="130" t="s">
        <v>93</v>
      </c>
      <c r="AG2" s="130" t="s">
        <v>48</v>
      </c>
      <c r="AH2" s="130" t="s">
        <v>109</v>
      </c>
      <c r="AI2" s="130" t="s">
        <v>95</v>
      </c>
      <c r="AJ2" s="130" t="s">
        <v>93</v>
      </c>
    </row>
    <row r="3" spans="2:36" ht="14.1" customHeight="1" thickBot="1" x14ac:dyDescent="0.3">
      <c r="B3" s="258" t="s">
        <v>97</v>
      </c>
      <c r="C3" s="258"/>
      <c r="D3" s="258"/>
      <c r="E3" s="258"/>
      <c r="F3" s="144">
        <v>110</v>
      </c>
      <c r="G3" s="142">
        <f t="shared" ref="G3:L3" si="0">F3+10</f>
        <v>120</v>
      </c>
      <c r="H3" s="142">
        <f t="shared" si="0"/>
        <v>130</v>
      </c>
      <c r="I3" s="142">
        <f t="shared" si="0"/>
        <v>140</v>
      </c>
      <c r="J3" s="142">
        <f t="shared" si="0"/>
        <v>150</v>
      </c>
      <c r="K3" s="142">
        <f t="shared" si="0"/>
        <v>160</v>
      </c>
      <c r="L3" s="143">
        <f t="shared" si="0"/>
        <v>170</v>
      </c>
      <c r="O3" s="260" t="s">
        <v>119</v>
      </c>
      <c r="P3" s="134"/>
      <c r="Q3" s="131" t="s">
        <v>110</v>
      </c>
      <c r="R3" s="138" t="s">
        <v>2</v>
      </c>
      <c r="S3" s="122">
        <v>1</v>
      </c>
      <c r="T3" s="122">
        <v>130</v>
      </c>
      <c r="U3" s="122">
        <v>-5</v>
      </c>
      <c r="V3" s="138" t="s">
        <v>2</v>
      </c>
      <c r="W3" s="122">
        <v>-1</v>
      </c>
      <c r="X3" s="122">
        <v>140</v>
      </c>
      <c r="Y3" s="122">
        <v>3</v>
      </c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</row>
    <row r="4" spans="2:36" ht="14.1" customHeight="1" thickBot="1" x14ac:dyDescent="0.3">
      <c r="O4" s="261"/>
      <c r="P4" s="134"/>
      <c r="Q4" s="132" t="s">
        <v>111</v>
      </c>
      <c r="R4" s="138" t="s">
        <v>2</v>
      </c>
      <c r="S4" s="122">
        <v>-1</v>
      </c>
      <c r="T4" s="122">
        <v>140</v>
      </c>
      <c r="U4" s="122">
        <v>5</v>
      </c>
      <c r="V4" s="138" t="s">
        <v>2</v>
      </c>
      <c r="W4" s="122">
        <v>1</v>
      </c>
      <c r="X4" s="122">
        <v>150</v>
      </c>
      <c r="Y4" s="122">
        <v>-3</v>
      </c>
      <c r="Z4" s="122"/>
      <c r="AA4" s="122"/>
      <c r="AB4" s="122"/>
      <c r="AC4" s="122"/>
      <c r="AD4" s="122"/>
      <c r="AE4" s="122"/>
      <c r="AF4" s="122"/>
      <c r="AG4" s="122"/>
      <c r="AH4" s="120"/>
      <c r="AI4" s="120"/>
      <c r="AJ4" s="120"/>
    </row>
    <row r="5" spans="2:36" ht="14.1" customHeight="1" thickBot="1" x14ac:dyDescent="0.3">
      <c r="B5" s="137" t="s">
        <v>98</v>
      </c>
      <c r="C5" s="137" t="s">
        <v>95</v>
      </c>
      <c r="D5" s="137" t="s">
        <v>93</v>
      </c>
      <c r="E5" s="137" t="s">
        <v>48</v>
      </c>
      <c r="F5" s="255" t="s">
        <v>96</v>
      </c>
      <c r="G5" s="256"/>
      <c r="H5" s="256"/>
      <c r="I5" s="256"/>
      <c r="J5" s="256"/>
      <c r="K5" s="256"/>
      <c r="L5" s="257"/>
      <c r="O5" s="248" t="s">
        <v>121</v>
      </c>
      <c r="P5" s="135"/>
      <c r="Q5" s="132" t="s">
        <v>100</v>
      </c>
      <c r="R5" s="138" t="s">
        <v>2</v>
      </c>
      <c r="S5" s="120">
        <v>-1</v>
      </c>
      <c r="T5" s="120">
        <v>140</v>
      </c>
      <c r="U5" s="120">
        <v>5</v>
      </c>
      <c r="V5" s="139" t="s">
        <v>33</v>
      </c>
      <c r="W5" s="120">
        <v>1</v>
      </c>
      <c r="X5" s="120">
        <v>140</v>
      </c>
      <c r="Y5" s="120">
        <v>-5</v>
      </c>
      <c r="Z5" s="139"/>
      <c r="AA5" s="120"/>
      <c r="AB5" s="120"/>
      <c r="AC5" s="120"/>
      <c r="AD5" s="120"/>
      <c r="AE5" s="120"/>
      <c r="AF5" s="120"/>
      <c r="AG5" s="120"/>
      <c r="AH5" s="139" t="s">
        <v>114</v>
      </c>
      <c r="AI5" s="120">
        <v>1</v>
      </c>
      <c r="AJ5" s="120">
        <v>135</v>
      </c>
    </row>
    <row r="6" spans="2:36" ht="14.1" customHeight="1" x14ac:dyDescent="0.25">
      <c r="B6" s="128" t="str">
        <f>VLOOKUP("X",$P$1:$AJ$24,3,0)</f>
        <v>Call</v>
      </c>
      <c r="C6" s="128">
        <f>VLOOKUP("X",$P$1:$AJ$24,4,0)</f>
        <v>-1</v>
      </c>
      <c r="D6" s="129">
        <f>VLOOKUP("X",$P$1:$AJ$24,5,0)</f>
        <v>130</v>
      </c>
      <c r="E6" s="129">
        <f>VLOOKUP("X",$P$1:$AJ$24,6,0)</f>
        <v>5</v>
      </c>
      <c r="F6" s="145">
        <f>IF(C6="","",IF($B$6="Call",IF($D$6&gt;=F3,0,(F3-$D$6)*$C$6),IF($D$6&gt;=F3,($D$6-F3)*$C$6,0)))</f>
        <v>0</v>
      </c>
      <c r="G6" s="146">
        <f>IF(C6="","",IF(B6="Call",IF(D6&gt;=$G$3,0,($G$3-D6)*C6),IF(D6&gt;=$G$3,(D6-$G$3)*C6,0)))</f>
        <v>0</v>
      </c>
      <c r="H6" s="146">
        <f>IF(C6="","",IF(B6="Call",IF(D6&gt;=$H$3,0,($H$3-D6)*C6),IF(D6&gt;=$H$3,(D6-$H$3)*C6,0)))</f>
        <v>0</v>
      </c>
      <c r="I6" s="146">
        <f>IF(C6="","",IF(B6="Call",IF(D6&gt;$I$3,0,($I$3-D6)*C6),IF(D6&gt;=$I$3,(D6-$I$3)*C6,0)))</f>
        <v>-10</v>
      </c>
      <c r="J6" s="146">
        <f>IF(C6="","",IF(B6="Call",IF(D6&gt;=$J$3,0,($J$3-D6)*C6),IF(D6&gt;=$J$3,(D6-$J$3)*$C6,0)))</f>
        <v>-20</v>
      </c>
      <c r="K6" s="146">
        <f>IF(C6="","",IF(B6="Call",IF(D6&gt;=$K$3,0,($K$3-D6)*C6),IF(D6&gt;=$K$3,(D6-$K$3)*$C6,0)))</f>
        <v>-30</v>
      </c>
      <c r="L6" s="147">
        <f>IF(C6="","",IF(B6="Call",IF(D6&gt;=$L$3,0,($L$3-D6)*C6),IF(D6&gt;=$L$3,(D6-$L$3)*C6,0)))</f>
        <v>-40</v>
      </c>
      <c r="O6" s="249"/>
      <c r="P6" s="135"/>
      <c r="Q6" s="132" t="s">
        <v>99</v>
      </c>
      <c r="R6" s="138" t="s">
        <v>2</v>
      </c>
      <c r="S6" s="120">
        <v>1</v>
      </c>
      <c r="T6" s="120">
        <v>130</v>
      </c>
      <c r="U6" s="120">
        <v>-8</v>
      </c>
      <c r="V6" s="138" t="s">
        <v>2</v>
      </c>
      <c r="W6" s="120">
        <v>-1</v>
      </c>
      <c r="X6" s="120">
        <v>140</v>
      </c>
      <c r="Y6" s="120">
        <v>5</v>
      </c>
      <c r="Z6" s="139" t="s">
        <v>33</v>
      </c>
      <c r="AA6" s="120">
        <v>-1</v>
      </c>
      <c r="AB6" s="120">
        <v>130</v>
      </c>
      <c r="AC6" s="120">
        <v>2</v>
      </c>
      <c r="AD6" s="139" t="s">
        <v>33</v>
      </c>
      <c r="AE6" s="120">
        <v>1</v>
      </c>
      <c r="AF6" s="120">
        <v>140</v>
      </c>
      <c r="AG6" s="120">
        <v>-5</v>
      </c>
      <c r="AH6" s="120"/>
      <c r="AI6" s="120"/>
      <c r="AJ6" s="120"/>
    </row>
    <row r="7" spans="2:36" ht="14.1" customHeight="1" x14ac:dyDescent="0.25">
      <c r="B7" s="128" t="str">
        <f>VLOOKUP("X",$P$1:$AJ$24,7,0)</f>
        <v>Put</v>
      </c>
      <c r="C7" s="128">
        <f>VLOOKUP("X",$P$1:$AJ$24,8,0)</f>
        <v>-1</v>
      </c>
      <c r="D7" s="129">
        <f>VLOOKUP("X",$P$1:$AJ$24,9,0)</f>
        <v>140</v>
      </c>
      <c r="E7" s="129">
        <f>VLOOKUP("X",$P$1:$AJ$24,10,0)</f>
        <v>9</v>
      </c>
      <c r="F7" s="145">
        <f>IF(C7="","",IF(B7="Call",IF(D7&gt;=$F$3,0,($F$3-D7)*C7),IF(D7&gt;=$F$3,(D7-$F$3)*C7,0)))</f>
        <v>-30</v>
      </c>
      <c r="G7" s="146">
        <f>IF(C7="","",IF(B7="Call",IF(D7&gt;=$G$3,0,($G$3-D7)*C7),IF(D7&gt;=$G$3,(D7-$G$3)*C7,0)))</f>
        <v>-20</v>
      </c>
      <c r="H7" s="146">
        <f>IF(C7="","",IF(B7="Call",IF(D7&gt;=$H$3,0,($H$3-D7)*C7),IF(D7&gt;=$H$3,(D7-$H$3)*C7,0)))</f>
        <v>-10</v>
      </c>
      <c r="I7" s="146">
        <f>IF(C7="","",IF(B7="Call",IF(D7&gt;$I$3,0,($I$3-D7)*C7),IF(D7&gt;=$I$3,(D7-$I$3)*C7,0)))</f>
        <v>0</v>
      </c>
      <c r="J7" s="146">
        <f>IF(C7="","",IF(B7="Call",IF(D7&gt;=$J$3,0,($J$3-D7)*C7),IF(D7&gt;=$J$3,(D7-$J$3)*$C7,0)))</f>
        <v>0</v>
      </c>
      <c r="K7" s="146">
        <f>IF(C7="","",IF(B7="Call",IF(D7&gt;=$K$3,0,($K$3-D7)*C7),IF(D7&gt;=$K$3,(D7-$K$3)*$C7,0)))</f>
        <v>0</v>
      </c>
      <c r="L7" s="147">
        <f>IF(C7="","",IF(B7="Call",IF(D7&gt;=$L$3,0,($L$3-D7)*C7),IF(D7&gt;=$L$3,(D7-$L$3)*C7,0)))</f>
        <v>0</v>
      </c>
      <c r="O7" s="250" t="s">
        <v>122</v>
      </c>
      <c r="P7" s="135"/>
      <c r="Q7" s="132" t="s">
        <v>123</v>
      </c>
      <c r="R7" s="138" t="s">
        <v>2</v>
      </c>
      <c r="S7" s="120">
        <v>-1</v>
      </c>
      <c r="T7" s="120">
        <v>120</v>
      </c>
      <c r="U7" s="120">
        <v>9</v>
      </c>
      <c r="V7" s="138" t="s">
        <v>2</v>
      </c>
      <c r="W7" s="120">
        <v>3</v>
      </c>
      <c r="X7" s="120">
        <v>140</v>
      </c>
      <c r="Y7" s="120">
        <v>-9</v>
      </c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</row>
    <row r="8" spans="2:36" ht="14.1" customHeight="1" x14ac:dyDescent="0.25">
      <c r="B8" s="128">
        <f>VLOOKUP("X",$P$1:$AJ$24,11,0)</f>
        <v>0</v>
      </c>
      <c r="C8" s="128">
        <f>VLOOKUP("X",$P$1:$AJ$24,12,0)</f>
        <v>0</v>
      </c>
      <c r="D8" s="129">
        <f>VLOOKUP("X",$P$1:$AJ$24,13,0)</f>
        <v>0</v>
      </c>
      <c r="E8" s="129">
        <f>VLOOKUP("X",$P$1:$AJ$24,14,0)</f>
        <v>0</v>
      </c>
      <c r="F8" s="145">
        <f>IF(C8="","",IF(B8="Call",IF(D8&gt;=$F$3,0,($F$3-D8)*C8),IF(D8&gt;=$F$3,(D8-$F$3)*C8,0)))</f>
        <v>0</v>
      </c>
      <c r="G8" s="146">
        <f>IF(C8="","",IF(B8="Call",IF(D8&gt;=$G$3,0,($G$3-D8)*C8),IF(D8&gt;=$G$3,(D8-$G$3)*C8,0)))</f>
        <v>0</v>
      </c>
      <c r="H8" s="146">
        <f>IF(C8="","",IF(B8="Call",IF(D8&gt;=$H$3,0,($H$3-D8)*C8),IF(D8&gt;=$H$3,(D8-$H$3)*C8,0)))</f>
        <v>0</v>
      </c>
      <c r="I8" s="146">
        <f>IF(C8="","",IF(B8="Call",IF(D8&gt;$I$3,0,($I$3-D8)*C8),IF(D8&gt;=$I$3,(D8-$I$3)*C8,0)))</f>
        <v>0</v>
      </c>
      <c r="J8" s="146">
        <f>IF(C8="","",IF(B8="Call",IF(D8&gt;=$J$3,0,($J$3-D8)*C8),IF(D8&gt;=$J$3,(D8-$J$3)*C8,0)))</f>
        <v>0</v>
      </c>
      <c r="K8" s="146">
        <f>IF(C8="","",IF(B8="Call",IF(D8&gt;=$K$3,0,($K$3-D8)*C8),IF(D8&gt;=$K$3,(D8-$K$3)*$C8,0)))</f>
        <v>0</v>
      </c>
      <c r="L8" s="147">
        <f>IF(C8="","",IF(B8="Call",IF(D8&gt;=$L$3,0,($L$3-D8)*C8),IF(D8&gt;=$L$3,(D8-$L$3)*C8,0)))</f>
        <v>0</v>
      </c>
      <c r="O8" s="251"/>
      <c r="P8" s="135"/>
      <c r="Q8" s="132" t="s">
        <v>124</v>
      </c>
      <c r="R8" s="138" t="s">
        <v>2</v>
      </c>
      <c r="S8" s="120">
        <v>-1</v>
      </c>
      <c r="T8" s="120">
        <v>120</v>
      </c>
      <c r="U8" s="120">
        <v>9</v>
      </c>
      <c r="V8" s="138" t="s">
        <v>2</v>
      </c>
      <c r="W8" s="120">
        <v>2</v>
      </c>
      <c r="X8" s="120">
        <v>130</v>
      </c>
      <c r="Y8" s="120">
        <v>-8</v>
      </c>
      <c r="Z8" s="138" t="s">
        <v>2</v>
      </c>
      <c r="AA8" s="120">
        <v>-1</v>
      </c>
      <c r="AB8" s="120">
        <v>150</v>
      </c>
      <c r="AC8" s="120">
        <v>2</v>
      </c>
      <c r="AD8" s="120"/>
      <c r="AE8" s="120"/>
      <c r="AF8" s="120"/>
      <c r="AG8" s="120"/>
      <c r="AH8" s="120"/>
      <c r="AI8" s="120"/>
      <c r="AJ8" s="120"/>
    </row>
    <row r="9" spans="2:36" ht="14.1" customHeight="1" x14ac:dyDescent="0.25">
      <c r="B9" s="128">
        <f>VLOOKUP("X",$P$1:$AJ$24,15,0)</f>
        <v>0</v>
      </c>
      <c r="C9" s="128">
        <f>VLOOKUP("X",$P$1:$AJ$24,16,0)</f>
        <v>0</v>
      </c>
      <c r="D9" s="129">
        <f>VLOOKUP("X",$P$1:$AJ$24,17,0)</f>
        <v>0</v>
      </c>
      <c r="E9" s="129">
        <f>VLOOKUP("X",$P$1:$AJ$24,18,0)</f>
        <v>0</v>
      </c>
      <c r="F9" s="145">
        <f>IF(C9="","",IF(B9="Call",IF(D9&gt;=$F$3,0,($F$3-D9)*C9),IF(D9&gt;=$F$3,(D9-$F$3)*C9,0)))</f>
        <v>0</v>
      </c>
      <c r="G9" s="146">
        <f>IF(C9="","",IF(B9="Call",IF(D9&gt;=$G$3,0,($G$3-D9)*C9),IF(D9&gt;=$G$3,(D9-$G$3)*C9,0)))</f>
        <v>0</v>
      </c>
      <c r="H9" s="146">
        <f>IF(C9="","",IF(B9="Call",IF(D9&gt;=$H$3,0,($H$3-D9)*C9),IF(D9&gt;=$H$3,(D9-$H$3)*C9,0)))</f>
        <v>0</v>
      </c>
      <c r="I9" s="146">
        <f>IF(C9="","",IF(B9="Call",IF(D9&gt;$I$3,0,($I$3-D9)*C9),IF(D9&gt;=$I$3,(D9-$I$3)*C9,0)))</f>
        <v>0</v>
      </c>
      <c r="J9" s="146">
        <f>IF(C9="","",IF(B9="Call",IF(D9&gt;=$J$3,0,($J$3-D9)*C9),IF(D9&gt;=$J$3,(D9-$J$3)*$C9,0)))</f>
        <v>0</v>
      </c>
      <c r="K9" s="146">
        <f>IF(C9="","",IF(B9="Call",IF(D9&gt;=$K$3,0,($K$3-D9)*C9),IF(D9&gt;=$K$3,(D9-$K$3)*$C9,0)))</f>
        <v>0</v>
      </c>
      <c r="L9" s="147">
        <f>IF(C9="","",IF(B9="Call",IF(D9&gt;=$L$3,0,($L$3-D9)*C9),IF(D9&gt;=$L$3,(D9-$L$3)*C9,0)))</f>
        <v>0</v>
      </c>
      <c r="O9" s="251"/>
      <c r="P9" s="135"/>
      <c r="Q9" s="132" t="s">
        <v>115</v>
      </c>
      <c r="R9" s="138" t="s">
        <v>2</v>
      </c>
      <c r="S9" s="120">
        <v>1</v>
      </c>
      <c r="T9" s="120">
        <v>130</v>
      </c>
      <c r="U9" s="120">
        <v>-8</v>
      </c>
      <c r="V9" s="138" t="s">
        <v>2</v>
      </c>
      <c r="W9" s="120">
        <v>-2</v>
      </c>
      <c r="X9" s="120">
        <v>140</v>
      </c>
      <c r="Y9" s="120">
        <v>9</v>
      </c>
      <c r="Z9" s="138" t="s">
        <v>2</v>
      </c>
      <c r="AA9" s="120">
        <v>1</v>
      </c>
      <c r="AB9" s="120">
        <v>150</v>
      </c>
      <c r="AC9" s="120">
        <v>-4</v>
      </c>
      <c r="AD9" s="139"/>
      <c r="AE9" s="120"/>
      <c r="AF9" s="120"/>
      <c r="AG9" s="120"/>
      <c r="AH9" s="120"/>
      <c r="AI9" s="120"/>
      <c r="AJ9" s="120"/>
    </row>
    <row r="10" spans="2:36" ht="14.1" customHeight="1" thickBot="1" x14ac:dyDescent="0.3">
      <c r="B10" s="128">
        <f>VLOOKUP("X",$P$1:$AJ$24,19,0)</f>
        <v>0</v>
      </c>
      <c r="C10" s="128">
        <f>VLOOKUP("X",$P$1:$AJ$24,20,0)</f>
        <v>0</v>
      </c>
      <c r="D10" s="129">
        <f>VLOOKUP("X",$P$1:$AJ$24,21,0)</f>
        <v>0</v>
      </c>
      <c r="E10" s="129"/>
      <c r="F10" s="145">
        <f t="shared" ref="F10:L10" si="1">IF($C$10="","",(F3-$D$10)*$C$10)</f>
        <v>0</v>
      </c>
      <c r="G10" s="146">
        <f t="shared" si="1"/>
        <v>0</v>
      </c>
      <c r="H10" s="146">
        <f t="shared" si="1"/>
        <v>0</v>
      </c>
      <c r="I10" s="146">
        <f t="shared" si="1"/>
        <v>0</v>
      </c>
      <c r="J10" s="146">
        <f t="shared" si="1"/>
        <v>0</v>
      </c>
      <c r="K10" s="146">
        <f t="shared" si="1"/>
        <v>0</v>
      </c>
      <c r="L10" s="147">
        <f t="shared" si="1"/>
        <v>0</v>
      </c>
      <c r="O10" s="251"/>
      <c r="P10" s="135"/>
      <c r="Q10" s="132" t="s">
        <v>117</v>
      </c>
      <c r="R10" s="138" t="s">
        <v>2</v>
      </c>
      <c r="S10" s="120">
        <v>1</v>
      </c>
      <c r="T10" s="120">
        <v>120</v>
      </c>
      <c r="U10" s="120">
        <v>-9</v>
      </c>
      <c r="V10" s="138" t="s">
        <v>2</v>
      </c>
      <c r="W10" s="120">
        <v>-1</v>
      </c>
      <c r="X10" s="120">
        <v>130</v>
      </c>
      <c r="Y10" s="120">
        <v>6</v>
      </c>
      <c r="Z10" s="138" t="s">
        <v>2</v>
      </c>
      <c r="AA10" s="120">
        <v>-1</v>
      </c>
      <c r="AB10" s="120">
        <v>140</v>
      </c>
      <c r="AC10" s="120">
        <v>4</v>
      </c>
      <c r="AD10" s="138" t="s">
        <v>2</v>
      </c>
      <c r="AE10" s="120">
        <v>1</v>
      </c>
      <c r="AF10" s="120">
        <v>150</v>
      </c>
      <c r="AG10" s="120">
        <v>-2</v>
      </c>
      <c r="AH10" s="120"/>
      <c r="AI10" s="120"/>
      <c r="AJ10" s="120"/>
    </row>
    <row r="11" spans="2:36" ht="14.1" customHeight="1" thickBot="1" x14ac:dyDescent="0.3">
      <c r="C11" s="258"/>
      <c r="D11" s="258"/>
      <c r="E11" s="127">
        <f>SUM(E6:E9)</f>
        <v>14</v>
      </c>
      <c r="F11" s="124">
        <f t="shared" ref="F11:L11" si="2">SUM(F6:F10)+$E$11</f>
        <v>-16</v>
      </c>
      <c r="G11" s="125">
        <f t="shared" si="2"/>
        <v>-6</v>
      </c>
      <c r="H11" s="125">
        <f t="shared" si="2"/>
        <v>4</v>
      </c>
      <c r="I11" s="125">
        <f t="shared" si="2"/>
        <v>4</v>
      </c>
      <c r="J11" s="125">
        <f t="shared" si="2"/>
        <v>-6</v>
      </c>
      <c r="K11" s="125">
        <f>SUM(K6:K10)+$E$11</f>
        <v>-16</v>
      </c>
      <c r="L11" s="126">
        <f t="shared" si="2"/>
        <v>-26</v>
      </c>
      <c r="O11" s="251"/>
      <c r="P11" s="135"/>
      <c r="Q11" s="132" t="s">
        <v>128</v>
      </c>
      <c r="R11" s="138" t="s">
        <v>2</v>
      </c>
      <c r="S11" s="120">
        <v>1</v>
      </c>
      <c r="T11" s="120">
        <v>140</v>
      </c>
      <c r="U11" s="120">
        <v>-3</v>
      </c>
      <c r="V11" s="139" t="s">
        <v>33</v>
      </c>
      <c r="W11" s="120">
        <v>1</v>
      </c>
      <c r="X11" s="120">
        <v>140</v>
      </c>
      <c r="Y11" s="120">
        <v>-5</v>
      </c>
      <c r="Z11" s="139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</row>
    <row r="12" spans="2:36" ht="14.1" customHeight="1" x14ac:dyDescent="0.25">
      <c r="O12" s="252"/>
      <c r="P12" s="134"/>
      <c r="Q12" s="132" t="s">
        <v>130</v>
      </c>
      <c r="R12" s="138" t="s">
        <v>2</v>
      </c>
      <c r="S12" s="120">
        <v>1</v>
      </c>
      <c r="T12" s="120">
        <v>130</v>
      </c>
      <c r="U12" s="120">
        <v>-5</v>
      </c>
      <c r="V12" s="139" t="s">
        <v>33</v>
      </c>
      <c r="W12" s="120">
        <v>1</v>
      </c>
      <c r="X12" s="120">
        <v>140</v>
      </c>
      <c r="Y12" s="120">
        <v>-9</v>
      </c>
      <c r="Z12" s="139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/>
    </row>
    <row r="13" spans="2:36" ht="14.1" customHeight="1" x14ac:dyDescent="0.25">
      <c r="B13" s="254"/>
      <c r="C13" s="254"/>
      <c r="D13" s="254"/>
      <c r="E13" s="254"/>
      <c r="F13" s="123"/>
      <c r="G13" s="123"/>
      <c r="H13" s="123"/>
      <c r="I13" s="123"/>
      <c r="J13" s="123"/>
      <c r="K13" s="123"/>
      <c r="L13" s="123"/>
      <c r="O13" s="250" t="s">
        <v>127</v>
      </c>
      <c r="P13" s="135"/>
      <c r="Q13" s="132" t="s">
        <v>126</v>
      </c>
      <c r="R13" s="138" t="s">
        <v>2</v>
      </c>
      <c r="S13" s="120">
        <v>1</v>
      </c>
      <c r="T13" s="120">
        <v>120</v>
      </c>
      <c r="U13" s="120">
        <v>-9</v>
      </c>
      <c r="V13" s="138" t="s">
        <v>2</v>
      </c>
      <c r="W13" s="120">
        <v>-3</v>
      </c>
      <c r="X13" s="120">
        <v>140</v>
      </c>
      <c r="Y13" s="120">
        <v>12</v>
      </c>
      <c r="Z13" s="138" t="s">
        <v>2</v>
      </c>
      <c r="AA13" s="120">
        <v>2</v>
      </c>
      <c r="AB13" s="120">
        <v>160</v>
      </c>
      <c r="AC13" s="120">
        <v>-2</v>
      </c>
      <c r="AD13" s="120"/>
      <c r="AE13" s="120"/>
      <c r="AF13" s="120"/>
      <c r="AG13" s="120"/>
      <c r="AH13" s="120"/>
      <c r="AI13" s="120"/>
      <c r="AJ13" s="120"/>
    </row>
    <row r="14" spans="2:36" ht="14.1" customHeight="1" x14ac:dyDescent="0.25">
      <c r="O14" s="251"/>
      <c r="P14" s="135"/>
      <c r="Q14" s="132" t="s">
        <v>125</v>
      </c>
      <c r="R14" s="138" t="s">
        <v>2</v>
      </c>
      <c r="S14" s="120">
        <v>1</v>
      </c>
      <c r="T14" s="120">
        <v>110</v>
      </c>
      <c r="U14" s="120">
        <v>-8</v>
      </c>
      <c r="V14" s="138" t="s">
        <v>2</v>
      </c>
      <c r="W14" s="120">
        <v>-5</v>
      </c>
      <c r="X14" s="120">
        <v>130</v>
      </c>
      <c r="Y14" s="120">
        <v>18</v>
      </c>
      <c r="Z14" s="138" t="s">
        <v>2</v>
      </c>
      <c r="AA14" s="120">
        <v>5</v>
      </c>
      <c r="AB14" s="120">
        <v>140</v>
      </c>
      <c r="AC14" s="120">
        <v>-12</v>
      </c>
      <c r="AD14" s="138"/>
      <c r="AE14" s="120"/>
      <c r="AF14" s="120"/>
      <c r="AG14" s="120"/>
      <c r="AH14" s="120"/>
      <c r="AI14" s="120"/>
      <c r="AJ14" s="120"/>
    </row>
    <row r="15" spans="2:36" ht="14.1" customHeight="1" x14ac:dyDescent="0.25">
      <c r="B15" s="119"/>
      <c r="C15" s="119"/>
      <c r="E15" s="118"/>
      <c r="F15" s="117"/>
      <c r="G15" s="117"/>
      <c r="H15" s="117"/>
      <c r="I15" s="117"/>
      <c r="J15" s="117"/>
      <c r="K15" s="117"/>
      <c r="L15" s="117"/>
      <c r="O15" s="251"/>
      <c r="P15" s="135"/>
      <c r="Q15" s="132" t="s">
        <v>116</v>
      </c>
      <c r="R15" s="138" t="s">
        <v>2</v>
      </c>
      <c r="S15" s="120">
        <v>-1</v>
      </c>
      <c r="T15" s="120">
        <v>130</v>
      </c>
      <c r="U15" s="120">
        <v>8</v>
      </c>
      <c r="V15" s="138" t="s">
        <v>2</v>
      </c>
      <c r="W15" s="120">
        <v>2</v>
      </c>
      <c r="X15" s="120">
        <v>140</v>
      </c>
      <c r="Y15" s="120">
        <v>-9</v>
      </c>
      <c r="Z15" s="138" t="s">
        <v>2</v>
      </c>
      <c r="AA15" s="120">
        <v>-1</v>
      </c>
      <c r="AB15" s="120">
        <v>150</v>
      </c>
      <c r="AC15" s="120">
        <v>4</v>
      </c>
      <c r="AD15" s="139"/>
      <c r="AE15" s="120"/>
      <c r="AF15" s="120"/>
      <c r="AG15" s="120"/>
      <c r="AH15" s="120"/>
      <c r="AI15" s="120"/>
      <c r="AJ15" s="120"/>
    </row>
    <row r="16" spans="2:36" ht="14.1" customHeight="1" x14ac:dyDescent="0.25">
      <c r="O16" s="251"/>
      <c r="P16" s="135"/>
      <c r="Q16" s="132" t="s">
        <v>118</v>
      </c>
      <c r="R16" s="138" t="s">
        <v>2</v>
      </c>
      <c r="S16" s="120">
        <v>-1</v>
      </c>
      <c r="T16" s="120">
        <v>120</v>
      </c>
      <c r="U16" s="120">
        <v>9</v>
      </c>
      <c r="V16" s="138" t="s">
        <v>2</v>
      </c>
      <c r="W16" s="120">
        <v>1</v>
      </c>
      <c r="X16" s="120">
        <v>130</v>
      </c>
      <c r="Y16" s="120">
        <v>-6</v>
      </c>
      <c r="Z16" s="138" t="s">
        <v>2</v>
      </c>
      <c r="AA16" s="120">
        <v>1</v>
      </c>
      <c r="AB16" s="120">
        <v>140</v>
      </c>
      <c r="AC16" s="120">
        <v>-4</v>
      </c>
      <c r="AD16" s="138" t="s">
        <v>2</v>
      </c>
      <c r="AE16" s="120">
        <v>-1</v>
      </c>
      <c r="AF16" s="120">
        <v>150</v>
      </c>
      <c r="AG16" s="120">
        <v>2</v>
      </c>
      <c r="AH16" s="120"/>
      <c r="AI16" s="120"/>
      <c r="AJ16" s="120"/>
    </row>
    <row r="17" spans="15:36" ht="14.1" customHeight="1" x14ac:dyDescent="0.25">
      <c r="O17" s="251"/>
      <c r="P17" s="135"/>
      <c r="Q17" s="132" t="s">
        <v>129</v>
      </c>
      <c r="R17" s="138" t="s">
        <v>2</v>
      </c>
      <c r="S17" s="120">
        <v>-1</v>
      </c>
      <c r="T17" s="120">
        <v>140</v>
      </c>
      <c r="U17" s="120">
        <v>3</v>
      </c>
      <c r="V17" s="139" t="s">
        <v>33</v>
      </c>
      <c r="W17" s="120">
        <v>-1</v>
      </c>
      <c r="X17" s="120">
        <v>140</v>
      </c>
      <c r="Y17" s="120">
        <v>5</v>
      </c>
      <c r="Z17" s="139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</row>
    <row r="18" spans="15:36" ht="14.1" customHeight="1" x14ac:dyDescent="0.25">
      <c r="O18" s="252"/>
      <c r="P18" s="135" t="s">
        <v>94</v>
      </c>
      <c r="Q18" s="132" t="s">
        <v>131</v>
      </c>
      <c r="R18" s="138" t="s">
        <v>2</v>
      </c>
      <c r="S18" s="120">
        <v>-1</v>
      </c>
      <c r="T18" s="120">
        <v>130</v>
      </c>
      <c r="U18" s="120">
        <v>5</v>
      </c>
      <c r="V18" s="139" t="s">
        <v>33</v>
      </c>
      <c r="W18" s="120">
        <v>-1</v>
      </c>
      <c r="X18" s="120">
        <v>140</v>
      </c>
      <c r="Y18" s="120">
        <v>9</v>
      </c>
      <c r="Z18" s="139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</row>
    <row r="19" spans="15:36" ht="14.1" customHeight="1" x14ac:dyDescent="0.25">
      <c r="O19" s="245" t="s">
        <v>120</v>
      </c>
      <c r="P19" s="135"/>
      <c r="Q19" s="132" t="s">
        <v>102</v>
      </c>
      <c r="R19" s="139" t="s">
        <v>33</v>
      </c>
      <c r="S19" s="120">
        <v>1</v>
      </c>
      <c r="T19" s="120">
        <v>140</v>
      </c>
      <c r="U19" s="120">
        <v>-5</v>
      </c>
      <c r="V19" s="120"/>
      <c r="W19" s="120"/>
      <c r="X19" s="120"/>
      <c r="Y19" s="120"/>
      <c r="Z19" s="139"/>
      <c r="AA19" s="120"/>
      <c r="AB19" s="120"/>
      <c r="AC19" s="120"/>
      <c r="AD19" s="120"/>
      <c r="AE19" s="120"/>
      <c r="AF19" s="120"/>
      <c r="AG19" s="120"/>
      <c r="AH19" s="139" t="s">
        <v>113</v>
      </c>
      <c r="AI19" s="120">
        <v>1</v>
      </c>
      <c r="AJ19" s="120">
        <v>140</v>
      </c>
    </row>
    <row r="20" spans="15:36" ht="14.1" customHeight="1" x14ac:dyDescent="0.25">
      <c r="O20" s="246"/>
      <c r="P20" s="135"/>
      <c r="Q20" s="132" t="s">
        <v>103</v>
      </c>
      <c r="R20" s="138" t="s">
        <v>2</v>
      </c>
      <c r="S20" s="120">
        <v>1</v>
      </c>
      <c r="T20" s="120">
        <v>140</v>
      </c>
      <c r="U20" s="120">
        <v>-5</v>
      </c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39" t="s">
        <v>113</v>
      </c>
      <c r="AI20" s="120">
        <v>-1</v>
      </c>
      <c r="AJ20" s="120">
        <v>140</v>
      </c>
    </row>
    <row r="21" spans="15:36" ht="14.1" customHeight="1" x14ac:dyDescent="0.25">
      <c r="O21" s="246"/>
      <c r="P21" s="135"/>
      <c r="Q21" s="132" t="s">
        <v>107</v>
      </c>
      <c r="R21" s="138" t="s">
        <v>2</v>
      </c>
      <c r="S21" s="120">
        <v>1</v>
      </c>
      <c r="T21" s="120">
        <v>140</v>
      </c>
      <c r="U21" s="120">
        <v>-5</v>
      </c>
      <c r="V21" s="139" t="s">
        <v>33</v>
      </c>
      <c r="W21" s="120">
        <v>-1</v>
      </c>
      <c r="X21" s="120">
        <v>140</v>
      </c>
      <c r="Y21" s="120">
        <v>9</v>
      </c>
      <c r="Z21" s="139"/>
      <c r="AA21" s="120"/>
      <c r="AB21" s="120"/>
      <c r="AC21" s="120"/>
      <c r="AD21" s="120"/>
      <c r="AE21" s="120"/>
      <c r="AF21" s="120"/>
      <c r="AG21" s="120"/>
      <c r="AH21" s="120"/>
      <c r="AI21" s="120"/>
      <c r="AJ21" s="120"/>
    </row>
    <row r="22" spans="15:36" ht="14.1" customHeight="1" x14ac:dyDescent="0.25">
      <c r="O22" s="246"/>
      <c r="P22" s="135"/>
      <c r="Q22" s="132" t="s">
        <v>104</v>
      </c>
      <c r="R22" s="139" t="s">
        <v>33</v>
      </c>
      <c r="S22" s="120">
        <v>-1</v>
      </c>
      <c r="T22" s="120">
        <v>140</v>
      </c>
      <c r="U22" s="120">
        <v>5</v>
      </c>
      <c r="V22" s="120"/>
      <c r="W22" s="120"/>
      <c r="X22" s="120"/>
      <c r="Y22" s="120"/>
      <c r="Z22" s="139"/>
      <c r="AA22" s="120"/>
      <c r="AB22" s="120"/>
      <c r="AC22" s="120"/>
      <c r="AD22" s="120"/>
      <c r="AE22" s="120"/>
      <c r="AF22" s="120"/>
      <c r="AG22" s="120"/>
      <c r="AH22" s="139" t="s">
        <v>113</v>
      </c>
      <c r="AI22" s="120">
        <v>-1</v>
      </c>
      <c r="AJ22" s="120">
        <v>140</v>
      </c>
    </row>
    <row r="23" spans="15:36" ht="14.1" customHeight="1" x14ac:dyDescent="0.25">
      <c r="O23" s="246"/>
      <c r="P23" s="135"/>
      <c r="Q23" s="132" t="s">
        <v>105</v>
      </c>
      <c r="R23" s="138" t="s">
        <v>2</v>
      </c>
      <c r="S23" s="120">
        <v>-1</v>
      </c>
      <c r="T23" s="120">
        <v>140</v>
      </c>
      <c r="U23" s="120">
        <v>5</v>
      </c>
      <c r="V23" s="120"/>
      <c r="W23" s="120"/>
      <c r="X23" s="120"/>
      <c r="Y23" s="120"/>
      <c r="Z23" s="120"/>
      <c r="AA23" s="120"/>
      <c r="AB23" s="120"/>
      <c r="AC23" s="120"/>
      <c r="AD23" s="120"/>
      <c r="AE23" s="120"/>
      <c r="AF23" s="120"/>
      <c r="AG23" s="120"/>
      <c r="AH23" s="139" t="s">
        <v>113</v>
      </c>
      <c r="AI23" s="120">
        <v>1</v>
      </c>
      <c r="AJ23" s="120">
        <v>140</v>
      </c>
    </row>
    <row r="24" spans="15:36" ht="14.1" customHeight="1" x14ac:dyDescent="0.25">
      <c r="O24" s="247"/>
      <c r="P24" s="136"/>
      <c r="Q24" s="133" t="s">
        <v>106</v>
      </c>
      <c r="R24" s="140" t="s">
        <v>2</v>
      </c>
      <c r="S24" s="121">
        <v>-1</v>
      </c>
      <c r="T24" s="121">
        <v>140</v>
      </c>
      <c r="U24" s="121">
        <v>5</v>
      </c>
      <c r="V24" s="141" t="s">
        <v>33</v>
      </c>
      <c r="W24" s="121">
        <v>1</v>
      </c>
      <c r="X24" s="121">
        <v>140</v>
      </c>
      <c r="Y24" s="121">
        <v>-9</v>
      </c>
      <c r="Z24" s="14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</row>
    <row r="25" spans="15:36" ht="14.1" customHeight="1" x14ac:dyDescent="0.25"/>
    <row r="26" spans="15:36" ht="14.1" customHeight="1" x14ac:dyDescent="0.25"/>
    <row r="27" spans="15:36" ht="5.0999999999999996" customHeight="1" x14ac:dyDescent="0.25"/>
  </sheetData>
  <mergeCells count="18">
    <mergeCell ref="Z1:AC1"/>
    <mergeCell ref="AD1:AG1"/>
    <mergeCell ref="AH1:AJ1"/>
    <mergeCell ref="P1:P2"/>
    <mergeCell ref="Q1:Q2"/>
    <mergeCell ref="R1:U1"/>
    <mergeCell ref="V1:Y1"/>
    <mergeCell ref="O19:O24"/>
    <mergeCell ref="O5:O6"/>
    <mergeCell ref="O13:O18"/>
    <mergeCell ref="O7:O12"/>
    <mergeCell ref="B1:L2"/>
    <mergeCell ref="B13:E13"/>
    <mergeCell ref="F5:L5"/>
    <mergeCell ref="C11:D11"/>
    <mergeCell ref="B3:E3"/>
    <mergeCell ref="O1:O2"/>
    <mergeCell ref="O3:O4"/>
  </mergeCells>
  <printOptions horizontalCentered="1" gridLinesSet="0"/>
  <pageMargins left="0.51181102362204722" right="0.51181102362204722" top="0.98425196850393704" bottom="0.98425196850393704" header="0.51181102362204722" footer="0.51181102362204722"/>
  <pageSetup scale="99" orientation="portrait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B1:L33"/>
  <sheetViews>
    <sheetView showGridLines="0" zoomScale="95" workbookViewId="0">
      <selection activeCell="G5" sqref="G5"/>
    </sheetView>
  </sheetViews>
  <sheetFormatPr defaultRowHeight="13.2" x14ac:dyDescent="0.25"/>
  <cols>
    <col min="1" max="1" width="0.44140625" customWidth="1"/>
    <col min="2" max="2" width="10.88671875" style="45" bestFit="1" customWidth="1"/>
    <col min="3" max="3" width="4.88671875" style="45" bestFit="1" customWidth="1"/>
    <col min="4" max="4" width="7.6640625" style="45" customWidth="1"/>
    <col min="5" max="6" width="8.6640625" style="45" customWidth="1"/>
    <col min="7" max="7" width="8.33203125" style="45" customWidth="1"/>
    <col min="8" max="8" width="8.6640625" style="45" customWidth="1"/>
    <col min="9" max="9" width="8.33203125" style="45" customWidth="1"/>
    <col min="10" max="10" width="7.6640625" style="45" customWidth="1"/>
    <col min="11" max="11" width="8.33203125" style="45" customWidth="1"/>
    <col min="12" max="12" width="0.44140625" style="45" customWidth="1"/>
  </cols>
  <sheetData>
    <row r="1" spans="2:12" ht="2.4" customHeight="1" thickBot="1" x14ac:dyDescent="0.3"/>
    <row r="2" spans="2:12" ht="16.2" thickBot="1" x14ac:dyDescent="0.3">
      <c r="B2" s="77" t="s">
        <v>70</v>
      </c>
      <c r="C2" s="272" t="s">
        <v>91</v>
      </c>
      <c r="D2" s="272"/>
      <c r="E2" s="272"/>
      <c r="F2" s="272"/>
      <c r="G2" s="272"/>
      <c r="H2" s="272"/>
      <c r="I2" s="272"/>
      <c r="J2" s="273">
        <v>39953</v>
      </c>
      <c r="K2" s="274"/>
    </row>
    <row r="3" spans="2:12" ht="2.4" customHeight="1" x14ac:dyDescent="0.25"/>
    <row r="4" spans="2:12" x14ac:dyDescent="0.25">
      <c r="B4" s="46" t="s">
        <v>46</v>
      </c>
      <c r="C4" s="46" t="s">
        <v>47</v>
      </c>
      <c r="D4" s="46" t="s">
        <v>48</v>
      </c>
      <c r="E4" s="46" t="s">
        <v>1</v>
      </c>
      <c r="F4" s="46" t="s">
        <v>49</v>
      </c>
      <c r="G4" s="46" t="s">
        <v>50</v>
      </c>
      <c r="H4" s="46" t="s">
        <v>51</v>
      </c>
      <c r="I4" s="46" t="s">
        <v>52</v>
      </c>
      <c r="J4" s="46" t="s">
        <v>53</v>
      </c>
      <c r="K4" s="46" t="s">
        <v>54</v>
      </c>
    </row>
    <row r="5" spans="2:12" x14ac:dyDescent="0.25">
      <c r="B5" s="47" t="s">
        <v>55</v>
      </c>
      <c r="C5" s="48" t="s">
        <v>56</v>
      </c>
      <c r="D5" s="49">
        <v>2.2000000000000002</v>
      </c>
      <c r="E5" s="49">
        <v>30</v>
      </c>
      <c r="F5" s="50">
        <v>39951</v>
      </c>
      <c r="G5" s="49">
        <v>30</v>
      </c>
      <c r="H5" s="51">
        <f>E5+D5</f>
        <v>32.200000000000003</v>
      </c>
      <c r="I5" s="49">
        <f>IF(G5&lt;E5,0,G5-E5)</f>
        <v>0</v>
      </c>
      <c r="J5" s="49">
        <f>IF(G5&gt;E5,D5-I5,E5-G5)</f>
        <v>0</v>
      </c>
      <c r="K5" s="58" t="str">
        <f>IF(E5*1.25&lt;G5,"DITM",IF(E5&gt;G5*1.01,"OTM",IF(E5*1.01&lt;G5,"ITM","ATM")))</f>
        <v>ATM</v>
      </c>
    </row>
    <row r="6" spans="2:12" x14ac:dyDescent="0.25">
      <c r="B6" s="47" t="s">
        <v>57</v>
      </c>
      <c r="C6" s="48" t="s">
        <v>56</v>
      </c>
      <c r="D6" s="49">
        <v>0.32</v>
      </c>
      <c r="E6" s="49">
        <v>36</v>
      </c>
      <c r="F6" s="50">
        <v>39951</v>
      </c>
      <c r="G6" s="49">
        <v>30.45</v>
      </c>
      <c r="H6" s="51">
        <f>E6+D6</f>
        <v>36.32</v>
      </c>
      <c r="I6" s="49">
        <f>IF(G6&lt;E6,0,G6-E6)</f>
        <v>0</v>
      </c>
      <c r="J6" s="49">
        <f>IF(G6&gt;E6,D6-I6,E6-G6)</f>
        <v>5.5500000000000007</v>
      </c>
      <c r="K6" s="58" t="str">
        <f>IF(E6*1.25&lt;G6,"DITM",IF(E6&gt;G6*1.01,"OTM",IF(E6*1.01&lt;G6,"ITM","ATM")))</f>
        <v>OTM</v>
      </c>
      <c r="L6" s="53"/>
    </row>
    <row r="7" spans="2:12" x14ac:dyDescent="0.25">
      <c r="B7" s="47" t="s">
        <v>58</v>
      </c>
      <c r="C7" s="54" t="s">
        <v>56</v>
      </c>
      <c r="D7" s="55">
        <v>0.6</v>
      </c>
      <c r="E7" s="55">
        <v>38</v>
      </c>
      <c r="F7" s="56">
        <v>40014</v>
      </c>
      <c r="G7" s="55">
        <v>32.840000000000003</v>
      </c>
      <c r="H7" s="57">
        <f>E7+D7</f>
        <v>38.6</v>
      </c>
      <c r="I7" s="55">
        <f>IF(G7&lt;E7,0,G7-E7)</f>
        <v>0</v>
      </c>
      <c r="J7" s="49">
        <f>IF(G7&gt;E7,D7-I7,E7-G7)</f>
        <v>5.1599999999999966</v>
      </c>
      <c r="K7" s="58" t="str">
        <f>IF(E7*1.25&lt;G7,"DITM",IF(E7&gt;G7*1.01,"OTM",IF(E7*1.01&lt;G7,"ITM","ATM")))</f>
        <v>OTM</v>
      </c>
      <c r="L7" s="53"/>
    </row>
    <row r="8" spans="2:12" x14ac:dyDescent="0.25">
      <c r="B8" s="47" t="s">
        <v>59</v>
      </c>
      <c r="C8" s="54" t="s">
        <v>56</v>
      </c>
      <c r="D8" s="55">
        <v>0.15</v>
      </c>
      <c r="E8" s="55">
        <v>37.659999999999997</v>
      </c>
      <c r="F8" s="56">
        <v>39979</v>
      </c>
      <c r="G8" s="55">
        <v>32.840000000000003</v>
      </c>
      <c r="H8" s="57">
        <f>E8+D8</f>
        <v>37.809999999999995</v>
      </c>
      <c r="I8" s="55">
        <f>IF(G8&lt;E8,0,G8-E8)</f>
        <v>0</v>
      </c>
      <c r="J8" s="49">
        <f>IF(G8&gt;E8,D8-I8,E8-G8)</f>
        <v>4.8199999999999932</v>
      </c>
      <c r="K8" s="58" t="str">
        <f>IF(E8*1.25&lt;G8,"DITM",IF(E8&gt;G8*1.01,"OTM",IF(E8*1.01&lt;G8,"ITM","ATM")))</f>
        <v>OTM</v>
      </c>
      <c r="L8" s="53"/>
    </row>
    <row r="9" spans="2:12" x14ac:dyDescent="0.25">
      <c r="B9" s="47" t="s">
        <v>60</v>
      </c>
      <c r="C9" s="54" t="s">
        <v>56</v>
      </c>
      <c r="D9" s="55">
        <v>0.19</v>
      </c>
      <c r="E9" s="55">
        <v>40</v>
      </c>
      <c r="F9" s="56">
        <v>40014</v>
      </c>
      <c r="G9" s="55">
        <v>32.840000000000003</v>
      </c>
      <c r="H9" s="57">
        <f>E9+D9</f>
        <v>40.19</v>
      </c>
      <c r="I9" s="55">
        <f>IF(G9&lt;E9,0,G9-E9)</f>
        <v>0</v>
      </c>
      <c r="J9" s="49">
        <f>IF(G9&gt;E9,D9-I9,E9-G9)</f>
        <v>7.1599999999999966</v>
      </c>
      <c r="K9" s="58" t="str">
        <f>IF(E9*1.25&lt;G9,"DITM",IF(E9&gt;G9*1.01,"OTM",IF(E9*1.01&lt;G9,"ITM","ATM")))</f>
        <v>OTM</v>
      </c>
    </row>
    <row r="10" spans="2:12" x14ac:dyDescent="0.25">
      <c r="B10" s="46" t="s">
        <v>46</v>
      </c>
      <c r="C10" s="46" t="s">
        <v>47</v>
      </c>
      <c r="D10" s="46" t="s">
        <v>48</v>
      </c>
      <c r="E10" s="46" t="s">
        <v>61</v>
      </c>
      <c r="F10" s="46" t="s">
        <v>49</v>
      </c>
      <c r="G10" s="46" t="s">
        <v>50</v>
      </c>
      <c r="H10" s="46" t="s">
        <v>62</v>
      </c>
      <c r="I10" s="46" t="s">
        <v>63</v>
      </c>
      <c r="J10" s="46" t="s">
        <v>64</v>
      </c>
      <c r="K10" s="46" t="s">
        <v>65</v>
      </c>
    </row>
    <row r="11" spans="2:12" x14ac:dyDescent="0.25">
      <c r="B11" s="47" t="s">
        <v>57</v>
      </c>
      <c r="C11" s="54" t="s">
        <v>56</v>
      </c>
      <c r="D11" s="59">
        <v>0.32</v>
      </c>
      <c r="E11" s="59">
        <f>D11*H11</f>
        <v>32</v>
      </c>
      <c r="F11" s="60">
        <v>39951</v>
      </c>
      <c r="G11" s="61">
        <v>30.45</v>
      </c>
      <c r="H11" s="62">
        <v>100</v>
      </c>
      <c r="I11" s="60">
        <v>39905</v>
      </c>
      <c r="J11" s="55">
        <f>ROUND(((IF(AND(E11&lt;135.07),2.7,IF(E11&lt;498.62,ABS(E11)*0.02,IF(E11&lt;1514.69,ABS(E11)*0.015+2.49,IF(E11&lt;3029.38,ABS(E11)*0.01+10.06,ABS(E11)*0.005+25.21)))))+ABS(E11)*0.1%)/2+TRUNC(ABS(E11)*0.00035,2),2)</f>
        <v>1.38</v>
      </c>
      <c r="K11" s="63">
        <f>E11-J11</f>
        <v>30.62</v>
      </c>
    </row>
    <row r="12" spans="2:12" x14ac:dyDescent="0.25">
      <c r="B12" s="47" t="s">
        <v>58</v>
      </c>
      <c r="C12" s="54" t="s">
        <v>56</v>
      </c>
      <c r="D12" s="59">
        <v>0.6</v>
      </c>
      <c r="E12" s="59">
        <f>D12*H12</f>
        <v>60</v>
      </c>
      <c r="F12" s="60">
        <v>40014</v>
      </c>
      <c r="G12" s="61">
        <v>33.159999999999997</v>
      </c>
      <c r="H12" s="62">
        <v>100</v>
      </c>
      <c r="I12" s="60">
        <v>39953</v>
      </c>
      <c r="J12" s="55">
        <f>ROUND(((IF(AND(E12&lt;135.07),2.7,IF(E12&lt;498.62,ABS(E12)*0.02,IF(E12&lt;1514.69,ABS(E12)*0.015+2.49,IF(E12&lt;3029.38,ABS(E12)*0.01+10.06,ABS(E12)*0.005+25.21)))))+ABS(E12)*0.1%)/2+TRUNC(ABS(E12)*0.00035,2),2)</f>
        <v>1.4</v>
      </c>
      <c r="K12" s="63">
        <f>E12-J12</f>
        <v>58.6</v>
      </c>
    </row>
    <row r="13" spans="2:12" ht="13.5" customHeight="1" x14ac:dyDescent="0.25"/>
    <row r="14" spans="2:12" ht="13.5" customHeight="1" thickBot="1" x14ac:dyDescent="0.3"/>
    <row r="15" spans="2:12" x14ac:dyDescent="0.25">
      <c r="B15" s="264" t="s">
        <v>70</v>
      </c>
      <c r="C15" s="266" t="s">
        <v>90</v>
      </c>
      <c r="D15" s="266"/>
      <c r="E15" s="266"/>
      <c r="F15" s="266"/>
      <c r="G15" s="266"/>
      <c r="H15" s="266"/>
      <c r="I15" s="266"/>
      <c r="J15" s="268">
        <v>39905</v>
      </c>
      <c r="K15" s="269"/>
    </row>
    <row r="16" spans="2:12" s="97" customFormat="1" ht="13.5" customHeight="1" thickBot="1" x14ac:dyDescent="0.25">
      <c r="B16" s="265"/>
      <c r="C16" s="267"/>
      <c r="D16" s="267"/>
      <c r="E16" s="267"/>
      <c r="F16" s="267"/>
      <c r="G16" s="267"/>
      <c r="H16" s="267"/>
      <c r="I16" s="267"/>
      <c r="J16" s="270"/>
      <c r="K16" s="271"/>
      <c r="L16" s="96"/>
    </row>
    <row r="17" spans="2:11" ht="12.75" customHeight="1" x14ac:dyDescent="0.25">
      <c r="B17" s="46" t="s">
        <v>46</v>
      </c>
      <c r="C17" s="46" t="s">
        <v>47</v>
      </c>
      <c r="D17" s="46" t="s">
        <v>48</v>
      </c>
      <c r="E17" s="46" t="s">
        <v>1</v>
      </c>
      <c r="F17" s="46" t="s">
        <v>49</v>
      </c>
      <c r="G17" s="46" t="s">
        <v>50</v>
      </c>
      <c r="H17" s="46" t="s">
        <v>51</v>
      </c>
      <c r="I17" s="46" t="s">
        <v>52</v>
      </c>
      <c r="J17" s="46" t="s">
        <v>53</v>
      </c>
      <c r="K17" s="46" t="s">
        <v>54</v>
      </c>
    </row>
    <row r="18" spans="2:11" x14ac:dyDescent="0.25">
      <c r="B18" s="47" t="s">
        <v>66</v>
      </c>
      <c r="C18" s="48" t="s">
        <v>56</v>
      </c>
      <c r="D18" s="49">
        <v>8.58</v>
      </c>
      <c r="E18" s="49">
        <v>22</v>
      </c>
      <c r="F18" s="50">
        <v>39951</v>
      </c>
      <c r="G18" s="49">
        <v>28</v>
      </c>
      <c r="H18" s="51">
        <f>E18+D18</f>
        <v>30.58</v>
      </c>
      <c r="I18" s="49">
        <f>IF(G18&lt;E18,0,G18-E18)</f>
        <v>6</v>
      </c>
      <c r="J18" s="49">
        <f>IF(G18&gt;E18,D18-I18,E18-G18)</f>
        <v>2.58</v>
      </c>
      <c r="K18" s="52" t="str">
        <f>IF(E18*1.25&lt;G18,"DITM",IF(E18&gt;G18*1.01,"OTM",IF(E18*1.01&lt;G18,"ITM","ATM")))</f>
        <v>DITM</v>
      </c>
    </row>
    <row r="19" spans="2:11" x14ac:dyDescent="0.25">
      <c r="B19" s="47" t="s">
        <v>67</v>
      </c>
      <c r="C19" s="48" t="s">
        <v>56</v>
      </c>
      <c r="D19" s="49">
        <v>11.52</v>
      </c>
      <c r="E19" s="49">
        <v>20.98</v>
      </c>
      <c r="F19" s="50">
        <v>39979</v>
      </c>
      <c r="G19" s="49">
        <v>32.630000000000003</v>
      </c>
      <c r="H19" s="51">
        <f>E19+D19</f>
        <v>32.5</v>
      </c>
      <c r="I19" s="49">
        <f>IF(G19&lt;E19,0,G19-E19)</f>
        <v>11.650000000000002</v>
      </c>
      <c r="J19" s="49">
        <f>IF(G19&gt;E19,D19-I19,E19-G19)</f>
        <v>-0.13000000000000256</v>
      </c>
      <c r="K19" s="52" t="str">
        <f>IF(E19*1.25&lt;G19,"DITM",IF(E19&gt;G19*1.01,"OTM",IF(E19*1.01&lt;G19,"ITM","ATM")))</f>
        <v>DITM</v>
      </c>
    </row>
    <row r="20" spans="2:11" x14ac:dyDescent="0.25">
      <c r="B20" s="47" t="s">
        <v>68</v>
      </c>
      <c r="C20" s="48" t="s">
        <v>69</v>
      </c>
      <c r="D20" s="49">
        <v>4.59</v>
      </c>
      <c r="E20" s="49">
        <v>26.32</v>
      </c>
      <c r="F20" s="50">
        <v>39923</v>
      </c>
      <c r="G20" s="49">
        <v>30.45</v>
      </c>
      <c r="H20" s="51">
        <f>E20+D20</f>
        <v>30.91</v>
      </c>
      <c r="I20" s="49">
        <f>IF(G20&lt;E20,0,G20-E20)</f>
        <v>4.129999999999999</v>
      </c>
      <c r="J20" s="49">
        <f>IF(G20&gt;E20,D20-I20,E20-G20)</f>
        <v>0.46000000000000085</v>
      </c>
      <c r="K20" s="52" t="str">
        <f>IF(E20*1.25&lt;G20,"DITM",IF(E20&gt;G20*1.01,"OTM",IF(E20*1.01&lt;G20,"ITM","ATM")))</f>
        <v>ITM</v>
      </c>
    </row>
    <row r="21" spans="2:11" x14ac:dyDescent="0.25">
      <c r="B21" s="46" t="s">
        <v>46</v>
      </c>
      <c r="C21" s="46" t="s">
        <v>47</v>
      </c>
      <c r="D21" s="46" t="s">
        <v>48</v>
      </c>
      <c r="E21" s="46" t="s">
        <v>61</v>
      </c>
      <c r="F21" s="46" t="s">
        <v>49</v>
      </c>
      <c r="G21" s="46" t="s">
        <v>50</v>
      </c>
      <c r="H21" s="46" t="s">
        <v>62</v>
      </c>
      <c r="I21" s="46" t="s">
        <v>63</v>
      </c>
      <c r="J21" s="46" t="s">
        <v>64</v>
      </c>
      <c r="K21" s="46" t="s">
        <v>65</v>
      </c>
    </row>
    <row r="22" spans="2:11" x14ac:dyDescent="0.25">
      <c r="B22" s="64" t="s">
        <v>66</v>
      </c>
      <c r="C22" s="58" t="s">
        <v>56</v>
      </c>
      <c r="D22" s="65">
        <v>7.08</v>
      </c>
      <c r="E22" s="65">
        <f>-D22*H22</f>
        <v>708</v>
      </c>
      <c r="F22" s="66">
        <v>39951</v>
      </c>
      <c r="G22" s="65">
        <v>28.81</v>
      </c>
      <c r="H22" s="67">
        <v>-100</v>
      </c>
      <c r="I22" s="66">
        <v>39923</v>
      </c>
      <c r="J22" s="65">
        <f>ROUND(((IF(AND(E22&lt;135.07),2.7,IF(E22&lt;498.62,ABS(E22)*0.02,IF(E22&lt;1514.69,ABS(E22)*0.015+2.49,IF(E22&lt;3029.38,ABS(E22)*0.01+10.06,ABS(E22)*0.005+25.21)))))+ABS(E22)*0.1%)/2+TRUNC(ABS(E22)*0.00035,2),2)</f>
        <v>7.15</v>
      </c>
      <c r="K22" s="63">
        <f>J22+E22</f>
        <v>715.15</v>
      </c>
    </row>
    <row r="23" spans="2:11" x14ac:dyDescent="0.25">
      <c r="B23" s="68" t="s">
        <v>66</v>
      </c>
      <c r="C23" s="69" t="s">
        <v>56</v>
      </c>
      <c r="D23" s="70">
        <v>9.9499999999999993</v>
      </c>
      <c r="E23" s="70">
        <f>-D23*H23</f>
        <v>994.99999999999989</v>
      </c>
      <c r="F23" s="71">
        <v>39951</v>
      </c>
      <c r="G23" s="72">
        <v>31.5</v>
      </c>
      <c r="H23" s="73">
        <v>-100</v>
      </c>
      <c r="I23" s="71">
        <v>39937</v>
      </c>
      <c r="J23" s="70">
        <f>ROUND(((IF(AND(E23&lt;135.07),2.7,IF(E23&lt;498.62,ABS(E23)*0.02,IF(E23&lt;1514.69,ABS(E23)*0.015+2.49,IF(E23&lt;3029.38,ABS(E23)*0.01+10.06,ABS(E23)*0.005+25.21)))))+ABS(E23)*0.1%)/2+TRUNC(ABS(E23)*0.00035,2),2)</f>
        <v>9.5500000000000007</v>
      </c>
      <c r="K23" s="74">
        <f>J23+E23</f>
        <v>1004.5499999999998</v>
      </c>
    </row>
    <row r="24" spans="2:11" x14ac:dyDescent="0.25">
      <c r="B24" s="68" t="s">
        <v>66</v>
      </c>
      <c r="C24" s="69" t="s">
        <v>56</v>
      </c>
      <c r="D24" s="70">
        <v>10.6</v>
      </c>
      <c r="E24" s="70">
        <f>-D24*H24</f>
        <v>1060</v>
      </c>
      <c r="F24" s="71">
        <v>39951</v>
      </c>
      <c r="G24" s="72">
        <v>32.15</v>
      </c>
      <c r="H24" s="73">
        <v>-100</v>
      </c>
      <c r="I24" s="71">
        <v>39938</v>
      </c>
      <c r="J24" s="70">
        <f>ROUND(((IF(AND(E24&lt;135.07),2.7,IF(E24&lt;498.62,ABS(E24)*0.02,IF(E24&lt;1514.69,ABS(E24)*0.015+2.49,IF(E24&lt;3029.38,ABS(E24)*0.01+10.06,ABS(E24)*0.005+25.21)))))+ABS(E24)*0.1%)/2+TRUNC(ABS(E24)*0.00035,2),2)</f>
        <v>10.1</v>
      </c>
      <c r="K24" s="74">
        <f>J24+E24</f>
        <v>1070.0999999999999</v>
      </c>
    </row>
    <row r="25" spans="2:11" x14ac:dyDescent="0.25">
      <c r="B25" s="46" t="s">
        <v>46</v>
      </c>
      <c r="C25" s="46" t="s">
        <v>47</v>
      </c>
      <c r="D25" s="46" t="s">
        <v>48</v>
      </c>
      <c r="E25" s="46" t="s">
        <v>61</v>
      </c>
      <c r="F25" s="46" t="s">
        <v>49</v>
      </c>
      <c r="G25" s="46" t="s">
        <v>50</v>
      </c>
      <c r="H25" s="46" t="s">
        <v>62</v>
      </c>
      <c r="I25" s="46" t="s">
        <v>63</v>
      </c>
      <c r="J25" s="46" t="s">
        <v>64</v>
      </c>
      <c r="K25" s="46" t="s">
        <v>65</v>
      </c>
    </row>
    <row r="26" spans="2:11" x14ac:dyDescent="0.25">
      <c r="B26" s="64" t="s">
        <v>67</v>
      </c>
      <c r="C26" s="58" t="s">
        <v>56</v>
      </c>
      <c r="D26" s="65">
        <v>11.52</v>
      </c>
      <c r="E26" s="65">
        <f>-D26*H26</f>
        <v>1152</v>
      </c>
      <c r="F26" s="66">
        <v>39979</v>
      </c>
      <c r="G26" s="65">
        <v>32.630000000000003</v>
      </c>
      <c r="H26" s="67">
        <v>-100</v>
      </c>
      <c r="I26" s="66">
        <v>39954</v>
      </c>
      <c r="J26" s="65">
        <f>ROUND(((IF(AND(E26&lt;135.07),2.7,IF(E26&lt;498.62,ABS(E26)*0.02,IF(E26&lt;1514.69,ABS(E26)*0.015+2.49,IF(E26&lt;3029.38,ABS(E26)*0.01+10.06,ABS(E26)*0.005+25.21)))))+ABS(E26)*0.1%)/2+TRUNC(ABS(E26)*0.00035,2),2)</f>
        <v>10.86</v>
      </c>
      <c r="K26" s="63">
        <f>J26+E26</f>
        <v>1162.8599999999999</v>
      </c>
    </row>
    <row r="27" spans="2:11" x14ac:dyDescent="0.25">
      <c r="B27" s="68" t="s">
        <v>67</v>
      </c>
      <c r="C27" s="69" t="s">
        <v>56</v>
      </c>
      <c r="D27" s="70">
        <v>0</v>
      </c>
      <c r="E27" s="70">
        <f>-D27*H27</f>
        <v>0</v>
      </c>
      <c r="F27" s="71">
        <v>39979</v>
      </c>
      <c r="G27" s="72">
        <v>0</v>
      </c>
      <c r="H27" s="73">
        <v>-100</v>
      </c>
      <c r="I27" s="71">
        <f>WORKDAY(I26,1,Feriados)</f>
        <v>39955</v>
      </c>
      <c r="J27" s="70">
        <f>ROUND(((IF(AND(E27&lt;135.07),2.7,IF(E27&lt;498.62,ABS(E27)*0.02,IF(E27&lt;1514.69,ABS(E27)*0.015+2.49,IF(E27&lt;3029.38,ABS(E27)*0.01+10.06,ABS(E27)*0.005+25.21)))))+ABS(E27)*0.1%)/2+TRUNC(ABS(E27)*0.00035,2),2)</f>
        <v>1.35</v>
      </c>
      <c r="K27" s="74">
        <f>J27+E27</f>
        <v>1.35</v>
      </c>
    </row>
    <row r="28" spans="2:11" x14ac:dyDescent="0.25">
      <c r="B28" s="68" t="s">
        <v>67</v>
      </c>
      <c r="C28" s="69" t="s">
        <v>56</v>
      </c>
      <c r="D28" s="70">
        <v>0</v>
      </c>
      <c r="E28" s="70">
        <f>-D28*H28</f>
        <v>0</v>
      </c>
      <c r="F28" s="71">
        <v>39979</v>
      </c>
      <c r="G28" s="72">
        <v>0</v>
      </c>
      <c r="H28" s="73">
        <v>-100</v>
      </c>
      <c r="I28" s="71">
        <f>WORKDAY(I27,1,Feriados)</f>
        <v>39958</v>
      </c>
      <c r="J28" s="70">
        <f>ROUND(((IF(AND(E28&lt;135.07),2.7,IF(E28&lt;498.62,ABS(E28)*0.02,IF(E28&lt;1514.69,ABS(E28)*0.015+2.49,IF(E28&lt;3029.38,ABS(E28)*0.01+10.06,ABS(E28)*0.005+25.21)))))+ABS(E28)*0.1%)/2+TRUNC(ABS(E28)*0.00035,2),2)</f>
        <v>1.35</v>
      </c>
      <c r="K28" s="74">
        <f>J28+E28</f>
        <v>1.35</v>
      </c>
    </row>
    <row r="29" spans="2:11" x14ac:dyDescent="0.25">
      <c r="B29" s="68" t="s">
        <v>67</v>
      </c>
      <c r="C29" s="69" t="s">
        <v>56</v>
      </c>
      <c r="D29" s="70">
        <v>0</v>
      </c>
      <c r="E29" s="70">
        <f>-D29*H29</f>
        <v>0</v>
      </c>
      <c r="F29" s="71">
        <v>39979</v>
      </c>
      <c r="G29" s="72">
        <v>0</v>
      </c>
      <c r="H29" s="73">
        <v>-100</v>
      </c>
      <c r="I29" s="71">
        <f>WORKDAY(I28,1,Feriados)</f>
        <v>39959</v>
      </c>
      <c r="J29" s="70">
        <f>ROUND(((IF(AND(E29&lt;135.07),2.7,IF(E29&lt;498.62,ABS(E29)*0.02,IF(E29&lt;1514.69,ABS(E29)*0.015+2.49,IF(E29&lt;3029.38,ABS(E29)*0.01+10.06,ABS(E29)*0.005+25.21)))))+ABS(E29)*0.1%)/2+TRUNC(ABS(E29)*0.00035,2),2)</f>
        <v>1.35</v>
      </c>
      <c r="K29" s="74">
        <f>J29+E29</f>
        <v>1.35</v>
      </c>
    </row>
    <row r="30" spans="2:11" x14ac:dyDescent="0.25">
      <c r="B30" s="68"/>
      <c r="C30" s="69"/>
      <c r="D30" s="70"/>
      <c r="E30" s="70"/>
      <c r="F30" s="71"/>
      <c r="G30" s="72"/>
      <c r="H30" s="73"/>
      <c r="I30" s="71"/>
      <c r="J30" s="70"/>
      <c r="K30" s="104"/>
    </row>
    <row r="31" spans="2:11" x14ac:dyDescent="0.25">
      <c r="B31" s="68"/>
      <c r="C31" s="69"/>
      <c r="D31" s="70"/>
      <c r="E31" s="70"/>
      <c r="F31" s="71"/>
      <c r="G31" s="72"/>
      <c r="H31" s="73"/>
      <c r="I31" s="71"/>
      <c r="J31" s="70"/>
      <c r="K31" s="104"/>
    </row>
    <row r="32" spans="2:11" x14ac:dyDescent="0.25">
      <c r="B32" s="68"/>
      <c r="C32" s="69"/>
      <c r="D32" s="70"/>
      <c r="E32" s="70"/>
      <c r="F32" s="71"/>
      <c r="G32" s="72"/>
      <c r="H32" s="73"/>
      <c r="I32" s="71"/>
      <c r="J32" s="70"/>
      <c r="K32" s="74"/>
    </row>
    <row r="33" spans="9:9" x14ac:dyDescent="0.25">
      <c r="I33" s="71"/>
    </row>
  </sheetData>
  <mergeCells count="5">
    <mergeCell ref="B15:B16"/>
    <mergeCell ref="C15:I16"/>
    <mergeCell ref="J15:K16"/>
    <mergeCell ref="C2:I2"/>
    <mergeCell ref="J2:K2"/>
  </mergeCells>
  <conditionalFormatting sqref="K18:K20">
    <cfRule type="cellIs" dxfId="3" priority="3" stopIfTrue="1" operator="equal">
      <formula>"DITM"</formula>
    </cfRule>
    <cfRule type="cellIs" dxfId="2" priority="4" stopIfTrue="1" operator="notEqual">
      <formula>"DITM"</formula>
    </cfRule>
  </conditionalFormatting>
  <conditionalFormatting sqref="K5:K9">
    <cfRule type="cellIs" dxfId="1" priority="1" stopIfTrue="1" operator="equal">
      <formula>"OTM"</formula>
    </cfRule>
    <cfRule type="cellIs" dxfId="0" priority="2" stopIfTrue="1" operator="notEqual">
      <formula>"OTM"</formula>
    </cfRule>
  </conditionalFormatting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AA85"/>
  <sheetViews>
    <sheetView showGridLines="0" zoomScale="80" workbookViewId="0"/>
  </sheetViews>
  <sheetFormatPr defaultRowHeight="13.2" x14ac:dyDescent="0.25"/>
  <cols>
    <col min="1" max="1" width="7.6640625" style="3" customWidth="1"/>
    <col min="2" max="2" width="8.6640625" style="3" customWidth="1"/>
    <col min="3" max="3" width="7.6640625" style="3" customWidth="1"/>
    <col min="4" max="4" width="0.88671875" customWidth="1"/>
    <col min="5" max="6" width="7.6640625" customWidth="1"/>
    <col min="7" max="7" width="8.109375" bestFit="1" customWidth="1"/>
    <col min="8" max="8" width="8.44140625" bestFit="1" customWidth="1"/>
    <col min="9" max="9" width="7.88671875" bestFit="1" customWidth="1"/>
    <col min="10" max="10" width="8" bestFit="1" customWidth="1"/>
    <col min="11" max="11" width="8.109375" bestFit="1" customWidth="1"/>
    <col min="12" max="13" width="8.44140625" bestFit="1" customWidth="1"/>
    <col min="14" max="15" width="8.109375" bestFit="1" customWidth="1"/>
    <col min="16" max="16" width="8.44140625" bestFit="1" customWidth="1"/>
    <col min="17" max="17" width="7.88671875" bestFit="1" customWidth="1"/>
    <col min="18" max="18" width="8" bestFit="1" customWidth="1"/>
    <col min="19" max="19" width="8.109375" bestFit="1" customWidth="1"/>
    <col min="20" max="21" width="8.44140625" bestFit="1" customWidth="1"/>
    <col min="22" max="22" width="8.109375" bestFit="1" customWidth="1"/>
    <col min="23" max="24" width="8.33203125" customWidth="1"/>
    <col min="25" max="25" width="11.6640625" customWidth="1"/>
    <col min="26" max="26" width="0.88671875" customWidth="1"/>
    <col min="27" max="27" width="7.6640625" customWidth="1"/>
    <col min="28" max="28" width="0.88671875" customWidth="1"/>
  </cols>
  <sheetData>
    <row r="1" spans="1:27" ht="21" customHeight="1" x14ac:dyDescent="0.25">
      <c r="A1" s="8" t="s">
        <v>7</v>
      </c>
      <c r="B1" s="8" t="s">
        <v>8</v>
      </c>
      <c r="C1" s="8" t="s">
        <v>9</v>
      </c>
      <c r="D1" s="9"/>
      <c r="E1" s="275" t="s">
        <v>10</v>
      </c>
      <c r="F1" s="276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8"/>
      <c r="AA1" s="8" t="s">
        <v>7</v>
      </c>
    </row>
    <row r="2" spans="1:27" x14ac:dyDescent="0.25">
      <c r="A2" s="3">
        <v>6</v>
      </c>
      <c r="B2" s="10">
        <v>1818.34</v>
      </c>
      <c r="C2" s="10">
        <v>14.13</v>
      </c>
      <c r="E2" s="282" t="s">
        <v>11</v>
      </c>
      <c r="F2" s="283"/>
      <c r="G2" s="280" t="s">
        <v>12</v>
      </c>
      <c r="H2" s="280"/>
      <c r="I2" s="280"/>
      <c r="J2" s="280"/>
      <c r="K2" s="280"/>
      <c r="L2" s="280"/>
      <c r="M2" s="280"/>
      <c r="N2" s="281"/>
      <c r="O2" s="279" t="s">
        <v>13</v>
      </c>
      <c r="P2" s="280"/>
      <c r="Q2" s="280"/>
      <c r="R2" s="280"/>
      <c r="S2" s="280"/>
      <c r="T2" s="280"/>
      <c r="U2" s="280"/>
      <c r="V2" s="281"/>
      <c r="W2" s="279" t="s">
        <v>14</v>
      </c>
      <c r="X2" s="280"/>
      <c r="Y2" s="281"/>
      <c r="AA2" s="6">
        <v>6</v>
      </c>
    </row>
    <row r="3" spans="1:27" x14ac:dyDescent="0.25">
      <c r="A3" s="3">
        <v>6</v>
      </c>
      <c r="B3" s="10">
        <v>1842.58</v>
      </c>
      <c r="C3" s="10">
        <v>14.2</v>
      </c>
      <c r="E3" s="12" t="s">
        <v>15</v>
      </c>
      <c r="F3" s="13" t="s">
        <v>1</v>
      </c>
      <c r="G3" s="14" t="s">
        <v>7</v>
      </c>
      <c r="H3" s="14" t="s">
        <v>8</v>
      </c>
      <c r="I3" s="14" t="s">
        <v>16</v>
      </c>
      <c r="J3" s="14" t="s">
        <v>17</v>
      </c>
      <c r="K3" s="14" t="s">
        <v>7</v>
      </c>
      <c r="L3" s="14" t="s">
        <v>8</v>
      </c>
      <c r="M3" s="14" t="s">
        <v>18</v>
      </c>
      <c r="N3" s="14" t="s">
        <v>19</v>
      </c>
      <c r="O3" s="14" t="s">
        <v>7</v>
      </c>
      <c r="P3" s="14" t="s">
        <v>8</v>
      </c>
      <c r="Q3" s="14" t="s">
        <v>16</v>
      </c>
      <c r="R3" s="14" t="s">
        <v>17</v>
      </c>
      <c r="S3" s="14" t="s">
        <v>7</v>
      </c>
      <c r="T3" s="14" t="s">
        <v>8</v>
      </c>
      <c r="U3" s="14" t="s">
        <v>18</v>
      </c>
      <c r="V3" s="14" t="s">
        <v>19</v>
      </c>
      <c r="W3" s="11" t="s">
        <v>20</v>
      </c>
      <c r="X3" s="15" t="s">
        <v>21</v>
      </c>
      <c r="Y3" s="16" t="s">
        <v>22</v>
      </c>
      <c r="AA3" s="6">
        <v>28</v>
      </c>
    </row>
    <row r="4" spans="1:27" x14ac:dyDescent="0.25">
      <c r="A4" s="3">
        <v>6</v>
      </c>
      <c r="B4" s="10">
        <v>1856.27</v>
      </c>
      <c r="C4" s="10">
        <v>14.38</v>
      </c>
      <c r="E4" s="17">
        <v>35</v>
      </c>
      <c r="F4" s="18">
        <f>1860</f>
        <v>1860</v>
      </c>
      <c r="G4" s="17">
        <f>IF(E4&lt;MIN($AA$2:$AA$13),$AA$2,IF(E4&gt;MAX($AA$2:$AA$13),$AA$13,VLOOKUP(E4,$AA$2:$AA$13,1)))</f>
        <v>28</v>
      </c>
      <c r="H4" s="19" t="str">
        <f>"&lt;=" &amp; F4</f>
        <v>&lt;=1860</v>
      </c>
      <c r="I4" s="20">
        <f>DMAX($A$1:$C$85,"Vols",G3:H4)</f>
        <v>13.47</v>
      </c>
      <c r="J4" s="21">
        <f>DMAX($A$1:$C$85,"Strikes",G3:H4)</f>
        <v>1850.93</v>
      </c>
      <c r="K4" s="17">
        <f>G4</f>
        <v>28</v>
      </c>
      <c r="L4" s="19" t="str">
        <f>"&gt;=" &amp; F4</f>
        <v>&gt;=1860</v>
      </c>
      <c r="M4" s="20">
        <f>DMIN($A$1:$C$85,"Vols",K3:L4)</f>
        <v>14.16</v>
      </c>
      <c r="N4" s="21">
        <f>DMIN($A$1:$C$85,"Strikes",K3:L4)</f>
        <v>1876.35</v>
      </c>
      <c r="O4" s="17">
        <f ca="1">IF(E4&lt;MIN($AA$2:$AA$13),$AA$2,IF(E4&gt;MAX($AA$2:$AA$13),$AA$13,OFFSET($AA$2,MATCH(E4,$AA$2:$AA$13,1),0)))</f>
        <v>48</v>
      </c>
      <c r="P4" s="19" t="str">
        <f>"&lt;=" &amp; F4</f>
        <v>&lt;=1860</v>
      </c>
      <c r="Q4" s="20">
        <f ca="1">DMAX($A$1:$C$85,"Vols",O3:P4)</f>
        <v>12.79</v>
      </c>
      <c r="R4" s="21">
        <f ca="1">DMAX($A$1:$C$85,"Strikes",O3:P4)</f>
        <v>1851.93</v>
      </c>
      <c r="S4" s="17">
        <f ca="1">O4</f>
        <v>48</v>
      </c>
      <c r="T4" s="19" t="str">
        <f>"&gt;=" &amp; F4</f>
        <v>&gt;=1860</v>
      </c>
      <c r="U4" s="20">
        <f ca="1">DMIN($A$1:$C$85,"Vols",S3:T4)</f>
        <v>13.51</v>
      </c>
      <c r="V4" s="22">
        <f ca="1">DMIN($A$1:$C$85,"Strikes",S3:T4)</f>
        <v>1882.35</v>
      </c>
      <c r="W4" s="23">
        <f>IF(N4=J4,I4,((M4-I4)/(N4-J4)*(F4-J4)+I4))</f>
        <v>13.716195908733281</v>
      </c>
      <c r="X4" s="24">
        <f ca="1">IF(V4=R4,Q4,((U4-Q4)/(V4-R4)*(F4-R4)+Q4))</f>
        <v>12.981005917159763</v>
      </c>
      <c r="Y4" s="25">
        <f ca="1">IF(O4=G4,W4,(X4-W4)/(O4-G4)*(E4-G4)+W4)</f>
        <v>13.458879411682551</v>
      </c>
      <c r="AA4" s="6">
        <v>48</v>
      </c>
    </row>
    <row r="5" spans="1:27" x14ac:dyDescent="0.25">
      <c r="A5" s="3">
        <v>6</v>
      </c>
      <c r="B5" s="10">
        <v>1869.5</v>
      </c>
      <c r="C5" s="10">
        <v>14.9</v>
      </c>
      <c r="E5" s="26"/>
      <c r="F5" s="26"/>
      <c r="AA5" s="6">
        <v>68</v>
      </c>
    </row>
    <row r="6" spans="1:27" x14ac:dyDescent="0.25">
      <c r="A6" s="3">
        <v>6</v>
      </c>
      <c r="B6" s="10">
        <v>1885.41</v>
      </c>
      <c r="C6" s="10">
        <v>16.03</v>
      </c>
      <c r="E6" s="12" t="s">
        <v>15</v>
      </c>
      <c r="F6" s="13" t="s">
        <v>1</v>
      </c>
      <c r="G6" s="14" t="s">
        <v>7</v>
      </c>
      <c r="H6" s="14" t="s">
        <v>8</v>
      </c>
      <c r="I6" s="14" t="s">
        <v>16</v>
      </c>
      <c r="J6" s="14" t="s">
        <v>17</v>
      </c>
      <c r="K6" s="14" t="s">
        <v>7</v>
      </c>
      <c r="L6" s="14" t="s">
        <v>8</v>
      </c>
      <c r="M6" s="14" t="s">
        <v>18</v>
      </c>
      <c r="N6" s="14" t="s">
        <v>19</v>
      </c>
      <c r="O6" s="14" t="s">
        <v>7</v>
      </c>
      <c r="P6" s="14" t="s">
        <v>8</v>
      </c>
      <c r="Q6" s="14" t="s">
        <v>16</v>
      </c>
      <c r="R6" s="14" t="s">
        <v>17</v>
      </c>
      <c r="S6" s="14" t="s">
        <v>7</v>
      </c>
      <c r="T6" s="14" t="s">
        <v>8</v>
      </c>
      <c r="U6" s="14" t="s">
        <v>18</v>
      </c>
      <c r="V6" s="14" t="s">
        <v>19</v>
      </c>
      <c r="W6" s="11" t="s">
        <v>20</v>
      </c>
      <c r="X6" s="15" t="s">
        <v>21</v>
      </c>
      <c r="Y6" s="16" t="s">
        <v>22</v>
      </c>
      <c r="AA6" s="6">
        <v>90</v>
      </c>
    </row>
    <row r="7" spans="1:27" x14ac:dyDescent="0.25">
      <c r="A7" s="3">
        <v>6</v>
      </c>
      <c r="B7" s="10">
        <v>1905.06</v>
      </c>
      <c r="C7" s="10">
        <v>17.8</v>
      </c>
      <c r="E7" s="17">
        <v>28</v>
      </c>
      <c r="F7" s="18">
        <f>1860</f>
        <v>1860</v>
      </c>
      <c r="G7" s="17">
        <f>IF(E7&lt;MIN($AA$2:$AA$13),$AA$2,IF(E7&gt;MAX($AA$2:$AA$13),$AA$13,VLOOKUP(E7,$AA$2:$AA$13,1)))</f>
        <v>28</v>
      </c>
      <c r="H7" s="19" t="str">
        <f>"&lt;=" &amp; F7</f>
        <v>&lt;=1860</v>
      </c>
      <c r="I7" s="20">
        <f>DMAX($A$1:$C$85,"Vols",G6:H7)</f>
        <v>13.47</v>
      </c>
      <c r="J7" s="21">
        <f>DMAX($A$1:$C$85,"Strikes",G6:H7)</f>
        <v>1850.93</v>
      </c>
      <c r="K7" s="17">
        <f>G7</f>
        <v>28</v>
      </c>
      <c r="L7" s="19" t="str">
        <f>"&gt;=" &amp; F7</f>
        <v>&gt;=1860</v>
      </c>
      <c r="M7" s="20">
        <f>DMIN($A$1:$C$85,"Vols",K6:L7)</f>
        <v>14.16</v>
      </c>
      <c r="N7" s="21">
        <f>DMIN($A$1:$C$85,"Strikes",K6:L7)</f>
        <v>1876.35</v>
      </c>
      <c r="O7" s="17">
        <f ca="1">IF(E7&lt;MIN($AA$2:$AA$13),$AA$2,IF(E7&gt;MAX($AA$2:$AA$13),$AA$13,OFFSET($AA$2,MATCH(E7,$AA$2:$AA$13,1),0)))</f>
        <v>48</v>
      </c>
      <c r="P7" s="19" t="str">
        <f>"&lt;=" &amp; F7</f>
        <v>&lt;=1860</v>
      </c>
      <c r="Q7" s="20">
        <f ca="1">DMAX($A$1:$C$85,"Vols",O6:P7)</f>
        <v>12.79</v>
      </c>
      <c r="R7" s="21">
        <f ca="1">DMAX($A$1:$C$85,"Strikes",O6:P7)</f>
        <v>1851.93</v>
      </c>
      <c r="S7" s="17">
        <f ca="1">O7</f>
        <v>48</v>
      </c>
      <c r="T7" s="19" t="str">
        <f>"&gt;=" &amp; F7</f>
        <v>&gt;=1860</v>
      </c>
      <c r="U7" s="20">
        <f ca="1">DMIN($A$1:$C$85,"Vols",S6:T7)</f>
        <v>13.51</v>
      </c>
      <c r="V7" s="22">
        <f ca="1">DMIN($A$1:$C$85,"Strikes",S6:T7)</f>
        <v>1882.35</v>
      </c>
      <c r="W7" s="23">
        <f>IF(N7=J7,I7,((M7-I7)/(N7-J7)*(F7-J7)+I7))</f>
        <v>13.716195908733281</v>
      </c>
      <c r="X7" s="24">
        <f ca="1">IF(V7=R7,Q7,((U7-Q7)/(V7-R7)*(F7-R7)+Q7))</f>
        <v>12.981005917159763</v>
      </c>
      <c r="Y7" s="25">
        <f ca="1">IF(O7=G7,W7,(X7-W7)/(O7-G7)*(E7-G7)+W7)</f>
        <v>13.716195908733281</v>
      </c>
      <c r="AA7" s="6">
        <v>109</v>
      </c>
    </row>
    <row r="8" spans="1:27" x14ac:dyDescent="0.25">
      <c r="A8" s="3">
        <v>6</v>
      </c>
      <c r="B8" s="10">
        <v>1951.25</v>
      </c>
      <c r="C8" s="10">
        <v>21.31</v>
      </c>
      <c r="E8" s="26"/>
      <c r="F8" s="26"/>
      <c r="AA8" s="6">
        <v>129</v>
      </c>
    </row>
    <row r="9" spans="1:27" x14ac:dyDescent="0.25">
      <c r="A9" s="3">
        <v>28</v>
      </c>
      <c r="B9" s="10">
        <v>1777.64</v>
      </c>
      <c r="C9" s="10">
        <v>12.89</v>
      </c>
      <c r="E9" s="12" t="s">
        <v>15</v>
      </c>
      <c r="F9" s="13" t="s">
        <v>1</v>
      </c>
      <c r="G9" s="14" t="s">
        <v>7</v>
      </c>
      <c r="H9" s="14" t="s">
        <v>8</v>
      </c>
      <c r="I9" s="14" t="s">
        <v>16</v>
      </c>
      <c r="J9" s="14" t="s">
        <v>17</v>
      </c>
      <c r="K9" s="14" t="s">
        <v>7</v>
      </c>
      <c r="L9" s="14" t="s">
        <v>8</v>
      </c>
      <c r="M9" s="14" t="s">
        <v>18</v>
      </c>
      <c r="N9" s="14" t="s">
        <v>19</v>
      </c>
      <c r="O9" s="14" t="s">
        <v>7</v>
      </c>
      <c r="P9" s="14" t="s">
        <v>8</v>
      </c>
      <c r="Q9" s="14" t="s">
        <v>16</v>
      </c>
      <c r="R9" s="14" t="s">
        <v>17</v>
      </c>
      <c r="S9" s="14" t="s">
        <v>7</v>
      </c>
      <c r="T9" s="14" t="s">
        <v>8</v>
      </c>
      <c r="U9" s="14" t="s">
        <v>18</v>
      </c>
      <c r="V9" s="14" t="s">
        <v>19</v>
      </c>
      <c r="W9" s="11" t="s">
        <v>20</v>
      </c>
      <c r="X9" s="15" t="s">
        <v>21</v>
      </c>
      <c r="Y9" s="16" t="s">
        <v>22</v>
      </c>
      <c r="AA9" s="6">
        <v>150</v>
      </c>
    </row>
    <row r="10" spans="1:27" x14ac:dyDescent="0.25">
      <c r="A10" s="3">
        <v>28</v>
      </c>
      <c r="B10" s="10">
        <v>1824.21</v>
      </c>
      <c r="C10" s="10">
        <v>13.06</v>
      </c>
      <c r="E10" s="17">
        <v>360</v>
      </c>
      <c r="F10" s="18">
        <f>1860</f>
        <v>1860</v>
      </c>
      <c r="G10" s="17">
        <f>IF(E10&lt;MIN($AA$2:$AA$13),$AA$2,IF(E10&gt;MAX($AA$2:$AA$13),$AA$13,VLOOKUP(E10,$AA$2:$AA$13,1)))</f>
        <v>235</v>
      </c>
      <c r="H10" s="19" t="str">
        <f>"&lt;=" &amp; F10</f>
        <v>&lt;=1860</v>
      </c>
      <c r="I10" s="20">
        <f>DMAX($A$1:$C$85,"Vols",G9:H10)</f>
        <v>10.59</v>
      </c>
      <c r="J10" s="21">
        <f>DMAX($A$1:$C$85,"Strikes",G9:H10)</f>
        <v>1834.24</v>
      </c>
      <c r="K10" s="17">
        <f>G10</f>
        <v>235</v>
      </c>
      <c r="L10" s="19" t="str">
        <f>"&gt;=" &amp; F10</f>
        <v>&gt;=1860</v>
      </c>
      <c r="M10" s="20">
        <f>DMIN($A$1:$C$85,"Vols",K9:L10)</f>
        <v>11.03</v>
      </c>
      <c r="N10" s="21">
        <f>DMIN($A$1:$C$85,"Strikes",K9:L10)</f>
        <v>1900.42</v>
      </c>
      <c r="O10" s="17">
        <f ca="1">IF(E10&lt;MIN($AA$2:$AA$13),$AA$2,IF(E10&gt;MAX($AA$2:$AA$13),$AA$13,OFFSET($AA$2,MATCH(E10,$AA$2:$AA$13,1),0)))</f>
        <v>235</v>
      </c>
      <c r="P10" s="19" t="str">
        <f>"&lt;=" &amp; F10</f>
        <v>&lt;=1860</v>
      </c>
      <c r="Q10" s="20">
        <f ca="1">DMAX($A$1:$C$85,"Vols",O9:P10)</f>
        <v>10.59</v>
      </c>
      <c r="R10" s="21">
        <f ca="1">DMAX($A$1:$C$85,"Strikes",O9:P10)</f>
        <v>1834.24</v>
      </c>
      <c r="S10" s="17">
        <f ca="1">O10</f>
        <v>235</v>
      </c>
      <c r="T10" s="19" t="str">
        <f>"&gt;=" &amp; F10</f>
        <v>&gt;=1860</v>
      </c>
      <c r="U10" s="20">
        <f ca="1">DMIN($A$1:$C$85,"Vols",S9:T10)</f>
        <v>11.03</v>
      </c>
      <c r="V10" s="22">
        <f ca="1">DMIN($A$1:$C$85,"Strikes",S9:T10)</f>
        <v>1900.42</v>
      </c>
      <c r="W10" s="23">
        <f>IF(N10=J10,I10,((M10-I10)/(N10-J10)*(F10-J10)+I10))</f>
        <v>10.76126624357812</v>
      </c>
      <c r="X10" s="24">
        <f ca="1">IF(V10=R10,Q10,((U10-Q10)/(V10-R10)*(F10-R10)+Q10))</f>
        <v>10.76126624357812</v>
      </c>
      <c r="Y10" s="25">
        <f ca="1">IF(O10=G10,W10,(X10-W10)/(O10-G10)*(E10-G10)+W10)</f>
        <v>10.76126624357812</v>
      </c>
      <c r="AA10" s="6">
        <v>170</v>
      </c>
    </row>
    <row r="11" spans="1:27" x14ac:dyDescent="0.25">
      <c r="A11" s="3">
        <v>28</v>
      </c>
      <c r="B11" s="10">
        <v>1850.93</v>
      </c>
      <c r="C11" s="10">
        <v>13.47</v>
      </c>
      <c r="AA11" s="6">
        <v>191</v>
      </c>
    </row>
    <row r="12" spans="1:27" x14ac:dyDescent="0.25">
      <c r="A12" s="3">
        <v>28</v>
      </c>
      <c r="B12" s="10">
        <v>1876.35</v>
      </c>
      <c r="C12" s="10">
        <v>14.16</v>
      </c>
      <c r="E12" s="12" t="s">
        <v>15</v>
      </c>
      <c r="F12" s="13" t="s">
        <v>1</v>
      </c>
      <c r="G12" s="14" t="s">
        <v>7</v>
      </c>
      <c r="H12" s="14" t="s">
        <v>8</v>
      </c>
      <c r="I12" s="14" t="s">
        <v>16</v>
      </c>
      <c r="J12" s="14" t="s">
        <v>17</v>
      </c>
      <c r="K12" s="14" t="s">
        <v>7</v>
      </c>
      <c r="L12" s="14" t="s">
        <v>8</v>
      </c>
      <c r="M12" s="14" t="s">
        <v>18</v>
      </c>
      <c r="N12" s="14" t="s">
        <v>19</v>
      </c>
      <c r="O12" s="14" t="s">
        <v>7</v>
      </c>
      <c r="P12" s="14" t="s">
        <v>8</v>
      </c>
      <c r="Q12" s="14" t="s">
        <v>16</v>
      </c>
      <c r="R12" s="14" t="s">
        <v>17</v>
      </c>
      <c r="S12" s="14" t="s">
        <v>7</v>
      </c>
      <c r="T12" s="14" t="s">
        <v>8</v>
      </c>
      <c r="U12" s="14" t="s">
        <v>18</v>
      </c>
      <c r="V12" s="14" t="s">
        <v>19</v>
      </c>
      <c r="W12" s="11" t="s">
        <v>20</v>
      </c>
      <c r="X12" s="15" t="s">
        <v>21</v>
      </c>
      <c r="Y12" s="16" t="s">
        <v>22</v>
      </c>
      <c r="AA12" s="6">
        <v>214</v>
      </c>
    </row>
    <row r="13" spans="1:27" x14ac:dyDescent="0.25">
      <c r="A13" s="3">
        <v>28</v>
      </c>
      <c r="B13" s="10">
        <v>1910.12</v>
      </c>
      <c r="C13" s="10">
        <v>15.22</v>
      </c>
      <c r="E13" s="17">
        <v>60</v>
      </c>
      <c r="F13" s="18">
        <f>1860</f>
        <v>1860</v>
      </c>
      <c r="G13" s="17">
        <f>IF(E13&lt;MIN($AA$2:$AA$13),$AA$2,IF(E13&gt;MAX($AA$2:$AA$13),$AA$13,VLOOKUP(E13,$AA$2:$AA$13,1)))</f>
        <v>48</v>
      </c>
      <c r="H13" s="19" t="str">
        <f>"&lt;=" &amp; F13</f>
        <v>&lt;=1860</v>
      </c>
      <c r="I13" s="20">
        <f>DMAX($A$1:$C$85,"Vols",G12:H13)</f>
        <v>12.79</v>
      </c>
      <c r="J13" s="21">
        <f>DMAX($A$1:$C$85,"Strikes",G12:H13)</f>
        <v>1851.93</v>
      </c>
      <c r="K13" s="17">
        <f>G13</f>
        <v>48</v>
      </c>
      <c r="L13" s="19" t="str">
        <f>"&gt;=" &amp; F13</f>
        <v>&gt;=1860</v>
      </c>
      <c r="M13" s="20">
        <f>DMIN($A$1:$C$85,"Vols",K12:L13)</f>
        <v>13.51</v>
      </c>
      <c r="N13" s="21">
        <f>DMIN($A$1:$C$85,"Strikes",K12:L13)</f>
        <v>1882.35</v>
      </c>
      <c r="O13" s="17">
        <f ca="1">IF(E13&lt;MIN($AA$2:$AA$13),$AA$2,IF(E13&gt;MAX($AA$2:$AA$13),$AA$13,OFFSET($AA$2,MATCH(E13,$AA$2:$AA$13,1),0)))</f>
        <v>68</v>
      </c>
      <c r="P13" s="19" t="str">
        <f>"&lt;=" &amp; F13</f>
        <v>&lt;=1860</v>
      </c>
      <c r="Q13" s="20">
        <f ca="1">DMAX($A$1:$C$85,"Vols",O12:P13)</f>
        <v>12.42</v>
      </c>
      <c r="R13" s="21">
        <f ca="1">DMAX($A$1:$C$85,"Strikes",O12:P13)</f>
        <v>1854.59</v>
      </c>
      <c r="S13" s="17">
        <f ca="1">O13</f>
        <v>68</v>
      </c>
      <c r="T13" s="19" t="str">
        <f>"&gt;=" &amp; F13</f>
        <v>&gt;=1860</v>
      </c>
      <c r="U13" s="20">
        <f ca="1">DMIN($A$1:$C$85,"Vols",S12:T13)</f>
        <v>13.11</v>
      </c>
      <c r="V13" s="22">
        <f ca="1">DMIN($A$1:$C$85,"Strikes",S12:T13)</f>
        <v>1888.5</v>
      </c>
      <c r="W13" s="23">
        <f>IF(N13=J13,I13,((M13-I13)/(N13-J13)*(F13-J13)+I13))</f>
        <v>12.981005917159763</v>
      </c>
      <c r="X13" s="24">
        <f ca="1">IF(V13=R13,Q13,((U13-Q13)/(V13-R13)*(F13-R13)+Q13))</f>
        <v>12.53008257151283</v>
      </c>
      <c r="Y13" s="25">
        <f ca="1">IF(O13=G13,W13,(X13-W13)/(O13-G13)*(E13-G13)+W13)</f>
        <v>12.710451909771603</v>
      </c>
      <c r="AA13" s="7">
        <v>235</v>
      </c>
    </row>
    <row r="14" spans="1:27" x14ac:dyDescent="0.25">
      <c r="A14" s="3">
        <v>28</v>
      </c>
      <c r="B14" s="10">
        <v>1950.45</v>
      </c>
      <c r="C14" s="10">
        <v>16.68</v>
      </c>
    </row>
    <row r="15" spans="1:27" x14ac:dyDescent="0.25">
      <c r="A15" s="3">
        <v>28</v>
      </c>
      <c r="B15" s="10">
        <v>2043.04</v>
      </c>
      <c r="C15" s="10">
        <v>19.46</v>
      </c>
      <c r="E15" s="12" t="s">
        <v>15</v>
      </c>
      <c r="F15" s="13" t="s">
        <v>1</v>
      </c>
      <c r="G15" s="14" t="s">
        <v>7</v>
      </c>
      <c r="H15" s="14" t="s">
        <v>8</v>
      </c>
      <c r="I15" s="14" t="s">
        <v>16</v>
      </c>
      <c r="J15" s="14" t="s">
        <v>17</v>
      </c>
      <c r="K15" s="14" t="s">
        <v>7</v>
      </c>
      <c r="L15" s="14" t="s">
        <v>8</v>
      </c>
      <c r="M15" s="14" t="s">
        <v>18</v>
      </c>
      <c r="N15" s="14" t="s">
        <v>19</v>
      </c>
      <c r="O15" s="14" t="s">
        <v>7</v>
      </c>
      <c r="P15" s="14" t="s">
        <v>8</v>
      </c>
      <c r="Q15" s="14" t="s">
        <v>16</v>
      </c>
      <c r="R15" s="14" t="s">
        <v>17</v>
      </c>
      <c r="S15" s="14" t="s">
        <v>7</v>
      </c>
      <c r="T15" s="14" t="s">
        <v>8</v>
      </c>
      <c r="U15" s="14" t="s">
        <v>18</v>
      </c>
      <c r="V15" s="14" t="s">
        <v>19</v>
      </c>
      <c r="W15" s="11" t="s">
        <v>20</v>
      </c>
      <c r="X15" s="15" t="s">
        <v>21</v>
      </c>
      <c r="Y15" s="16" t="s">
        <v>22</v>
      </c>
    </row>
    <row r="16" spans="1:27" x14ac:dyDescent="0.25">
      <c r="A16" s="3">
        <v>48</v>
      </c>
      <c r="B16" s="10">
        <v>1761.37</v>
      </c>
      <c r="C16" s="10">
        <v>12.2</v>
      </c>
      <c r="E16" s="17">
        <v>360</v>
      </c>
      <c r="F16" s="18">
        <v>1869.5</v>
      </c>
      <c r="G16" s="17">
        <f>IF(E16&lt;MIN($AA$2:$AA$13),$AA$2,IF(E16&gt;MAX($AA$2:$AA$13),$AA$13,VLOOKUP(E16,$AA$2:$AA$13,1)))</f>
        <v>235</v>
      </c>
      <c r="H16" s="19" t="str">
        <f>"&lt;=" &amp; F16</f>
        <v>&lt;=1869,5</v>
      </c>
      <c r="I16" s="20">
        <f>DMAX($A$1:$C$85,"Vols",G15:H16)</f>
        <v>10.59</v>
      </c>
      <c r="J16" s="21">
        <f>DMAX($A$1:$C$85,"Strikes",G15:H16)</f>
        <v>1834.24</v>
      </c>
      <c r="K16" s="17">
        <f>G16</f>
        <v>235</v>
      </c>
      <c r="L16" s="19" t="str">
        <f>"&gt;=" &amp; F16</f>
        <v>&gt;=1869,5</v>
      </c>
      <c r="M16" s="20">
        <f>DMIN($A$1:$C$85,"Vols",K15:L16)</f>
        <v>11.03</v>
      </c>
      <c r="N16" s="21">
        <f>DMIN($A$1:$C$85,"Strikes",K15:L16)</f>
        <v>1900.42</v>
      </c>
      <c r="O16" s="17">
        <f ca="1">IF(E16&lt;MIN($AA$2:$AA$13),$AA$2,IF(E16&gt;MAX($AA$2:$AA$13),$AA$13,OFFSET($AA$2,MATCH(E16,$AA$2:$AA$13,1),0)))</f>
        <v>235</v>
      </c>
      <c r="P16" s="19" t="str">
        <f>"&lt;=" &amp; F16</f>
        <v>&lt;=1869,5</v>
      </c>
      <c r="Q16" s="20">
        <f ca="1">DMAX($A$1:$C$85,"Vols",O15:P16)</f>
        <v>10.59</v>
      </c>
      <c r="R16" s="21">
        <f ca="1">DMAX($A$1:$C$85,"Strikes",O15:P16)</f>
        <v>1834.24</v>
      </c>
      <c r="S16" s="17">
        <f ca="1">O16</f>
        <v>235</v>
      </c>
      <c r="T16" s="19" t="str">
        <f>"&gt;=" &amp; F16</f>
        <v>&gt;=1869,5</v>
      </c>
      <c r="U16" s="20">
        <f ca="1">DMIN($A$1:$C$85,"Vols",S15:T16)</f>
        <v>11.03</v>
      </c>
      <c r="V16" s="22">
        <f ca="1">DMIN($A$1:$C$85,"Strikes",S15:T16)</f>
        <v>1900.42</v>
      </c>
      <c r="W16" s="23">
        <f>IF(N16=J16,I16,((M16-I16)/(N16-J16)*(F16-J16)+I16))</f>
        <v>10.824427319431852</v>
      </c>
      <c r="X16" s="24">
        <f ca="1">IF(V16=R16,Q16,((U16-Q16)/(V16-R16)*(F16-R16)+Q16))</f>
        <v>10.824427319431852</v>
      </c>
      <c r="Y16" s="25">
        <f ca="1">IF(O16=G16,W16,(X16-W16)/(O16-G16)*(E16-G16)+W16)</f>
        <v>10.824427319431852</v>
      </c>
    </row>
    <row r="17" spans="1:25" x14ac:dyDescent="0.25">
      <c r="A17" s="3">
        <v>48</v>
      </c>
      <c r="B17" s="10">
        <v>1818.95</v>
      </c>
      <c r="C17" s="10">
        <v>12.3</v>
      </c>
    </row>
    <row r="18" spans="1:25" x14ac:dyDescent="0.25">
      <c r="A18" s="3">
        <v>48</v>
      </c>
      <c r="B18" s="10">
        <v>1851.93</v>
      </c>
      <c r="C18" s="10">
        <v>12.79</v>
      </c>
      <c r="E18" s="12" t="s">
        <v>15</v>
      </c>
      <c r="F18" s="13" t="s">
        <v>1</v>
      </c>
      <c r="G18" s="14" t="s">
        <v>7</v>
      </c>
      <c r="H18" s="14" t="s">
        <v>8</v>
      </c>
      <c r="I18" s="14" t="s">
        <v>16</v>
      </c>
      <c r="J18" s="14" t="s">
        <v>17</v>
      </c>
      <c r="K18" s="14" t="s">
        <v>7</v>
      </c>
      <c r="L18" s="14" t="s">
        <v>8</v>
      </c>
      <c r="M18" s="14" t="s">
        <v>18</v>
      </c>
      <c r="N18" s="14" t="s">
        <v>19</v>
      </c>
      <c r="O18" s="14" t="s">
        <v>7</v>
      </c>
      <c r="P18" s="14" t="s">
        <v>8</v>
      </c>
      <c r="Q18" s="14" t="s">
        <v>16</v>
      </c>
      <c r="R18" s="14" t="s">
        <v>17</v>
      </c>
      <c r="S18" s="14" t="s">
        <v>7</v>
      </c>
      <c r="T18" s="14" t="s">
        <v>8</v>
      </c>
      <c r="U18" s="14" t="s">
        <v>18</v>
      </c>
      <c r="V18" s="14" t="s">
        <v>19</v>
      </c>
      <c r="W18" s="11" t="s">
        <v>20</v>
      </c>
      <c r="X18" s="15" t="s">
        <v>21</v>
      </c>
      <c r="Y18" s="16" t="s">
        <v>22</v>
      </c>
    </row>
    <row r="19" spans="1:25" x14ac:dyDescent="0.25">
      <c r="A19" s="3">
        <v>48</v>
      </c>
      <c r="B19" s="10">
        <v>1882.35</v>
      </c>
      <c r="C19" s="10">
        <v>13.51</v>
      </c>
      <c r="E19" s="17">
        <v>1</v>
      </c>
      <c r="F19" s="18">
        <v>1869.5</v>
      </c>
      <c r="G19" s="17">
        <f>IF(E19&lt;MIN($AA$2:$AA$13),$AA$2,IF(E19&gt;MAX($AA$2:$AA$13),$AA$13,VLOOKUP(E19,$AA$2:$AA$13,1)))</f>
        <v>6</v>
      </c>
      <c r="H19" s="19" t="str">
        <f>"&lt;=" &amp; F19</f>
        <v>&lt;=1869,5</v>
      </c>
      <c r="I19" s="20">
        <f>DMAX($A$1:$C$85,"Vols",G18:H19)</f>
        <v>14.9</v>
      </c>
      <c r="J19" s="21">
        <f>DMAX($A$1:$C$85,"Strikes",G18:H19)</f>
        <v>1869.5</v>
      </c>
      <c r="K19" s="17">
        <f>G19</f>
        <v>6</v>
      </c>
      <c r="L19" s="19" t="str">
        <f>"&gt;=" &amp; F19</f>
        <v>&gt;=1869,5</v>
      </c>
      <c r="M19" s="20">
        <f>DMIN($A$1:$C$85,"Vols",K18:L19)</f>
        <v>14.9</v>
      </c>
      <c r="N19" s="21">
        <f>DMIN($A$1:$C$85,"Strikes",K18:L19)</f>
        <v>1869.5</v>
      </c>
      <c r="O19" s="17">
        <f ca="1">IF(E19&lt;MIN($AA$2:$AA$13),$AA$2,IF(E19&gt;MAX($AA$2:$AA$13),$AA$13,OFFSET($AA$2,MATCH(E19,$AA$2:$AA$13,1),0)))</f>
        <v>6</v>
      </c>
      <c r="P19" s="19" t="str">
        <f>"&lt;=" &amp; F19</f>
        <v>&lt;=1869,5</v>
      </c>
      <c r="Q19" s="20">
        <f ca="1">DMAX($A$1:$C$85,"Vols",O18:P19)</f>
        <v>14.9</v>
      </c>
      <c r="R19" s="21">
        <f ca="1">DMAX($A$1:$C$85,"Strikes",O18:P19)</f>
        <v>1869.5</v>
      </c>
      <c r="S19" s="17">
        <f ca="1">O19</f>
        <v>6</v>
      </c>
      <c r="T19" s="19" t="str">
        <f>"&gt;=" &amp; F19</f>
        <v>&gt;=1869,5</v>
      </c>
      <c r="U19" s="20">
        <f ca="1">DMIN($A$1:$C$85,"Vols",S18:T19)</f>
        <v>14.9</v>
      </c>
      <c r="V19" s="22">
        <f ca="1">DMIN($A$1:$C$85,"Strikes",S18:T19)</f>
        <v>1869.5</v>
      </c>
      <c r="W19" s="23">
        <f>IF(N19=J19,I19,((M19-I19)/(N19-J19)*(F19-J19)+I19))</f>
        <v>14.9</v>
      </c>
      <c r="X19" s="24">
        <f ca="1">IF(V19=R19,Q19,((U19-Q19)/(V19-R19)*(F19-R19)+Q19))</f>
        <v>14.9</v>
      </c>
      <c r="Y19" s="25">
        <f ca="1">IF(O19=G19,W19,(X19-W19)/(O19-G19)*(E19-G19)+W19)</f>
        <v>14.9</v>
      </c>
    </row>
    <row r="20" spans="1:25" x14ac:dyDescent="0.25">
      <c r="A20" s="3">
        <v>48</v>
      </c>
      <c r="B20" s="10">
        <v>1925.08</v>
      </c>
      <c r="C20" s="10">
        <v>14.56</v>
      </c>
    </row>
    <row r="21" spans="1:25" x14ac:dyDescent="0.25">
      <c r="A21" s="3">
        <v>48</v>
      </c>
      <c r="B21" s="10">
        <v>1976.35</v>
      </c>
      <c r="C21" s="10">
        <v>15.96</v>
      </c>
      <c r="E21" s="12" t="s">
        <v>15</v>
      </c>
      <c r="F21" s="13" t="s">
        <v>1</v>
      </c>
      <c r="G21" s="14" t="s">
        <v>7</v>
      </c>
      <c r="H21" s="14" t="s">
        <v>8</v>
      </c>
      <c r="I21" s="14" t="s">
        <v>16</v>
      </c>
      <c r="J21" s="14" t="s">
        <v>17</v>
      </c>
      <c r="K21" s="14" t="s">
        <v>7</v>
      </c>
      <c r="L21" s="14" t="s">
        <v>8</v>
      </c>
      <c r="M21" s="14" t="s">
        <v>18</v>
      </c>
      <c r="N21" s="14" t="s">
        <v>19</v>
      </c>
      <c r="O21" s="14" t="s">
        <v>7</v>
      </c>
      <c r="P21" s="14" t="s">
        <v>8</v>
      </c>
      <c r="Q21" s="14" t="s">
        <v>16</v>
      </c>
      <c r="R21" s="14" t="s">
        <v>17</v>
      </c>
      <c r="S21" s="14" t="s">
        <v>7</v>
      </c>
      <c r="T21" s="14" t="s">
        <v>8</v>
      </c>
      <c r="U21" s="14" t="s">
        <v>18</v>
      </c>
      <c r="V21" s="14" t="s">
        <v>19</v>
      </c>
      <c r="W21" s="11" t="s">
        <v>20</v>
      </c>
      <c r="X21" s="15" t="s">
        <v>21</v>
      </c>
      <c r="Y21" s="16" t="s">
        <v>22</v>
      </c>
    </row>
    <row r="22" spans="1:25" x14ac:dyDescent="0.25">
      <c r="A22" s="3">
        <v>48</v>
      </c>
      <c r="B22" s="10">
        <v>2096.92</v>
      </c>
      <c r="C22" s="10">
        <v>18.8</v>
      </c>
      <c r="E22" s="17">
        <v>46</v>
      </c>
      <c r="F22" s="18">
        <v>1869.5</v>
      </c>
      <c r="G22" s="17">
        <f>IF(E22&lt;MIN($AA$2:$AA$13),$AA$2,IF(E22&gt;MAX($AA$2:$AA$13),$AA$13,VLOOKUP(E22,$AA$2:$AA$13,1)))</f>
        <v>28</v>
      </c>
      <c r="H22" s="19" t="str">
        <f>"&lt;=" &amp; F22</f>
        <v>&lt;=1869,5</v>
      </c>
      <c r="I22" s="20">
        <f>DMAX($A$1:$C$85,"Vols",G21:H22)</f>
        <v>13.47</v>
      </c>
      <c r="J22" s="21">
        <f>DMAX($A$1:$C$85,"Strikes",G21:H22)</f>
        <v>1850.93</v>
      </c>
      <c r="K22" s="17">
        <f>G22</f>
        <v>28</v>
      </c>
      <c r="L22" s="19" t="str">
        <f>"&gt;=" &amp; F22</f>
        <v>&gt;=1869,5</v>
      </c>
      <c r="M22" s="20">
        <f>DMIN($A$1:$C$85,"Vols",K21:L22)</f>
        <v>14.16</v>
      </c>
      <c r="N22" s="21">
        <f>DMIN($A$1:$C$85,"Strikes",K21:L22)</f>
        <v>1876.35</v>
      </c>
      <c r="O22" s="17">
        <f ca="1">IF(E22&lt;MIN($AA$2:$AA$13),$AA$2,IF(E22&gt;MAX($AA$2:$AA$13),$AA$13,OFFSET($AA$2,MATCH(E22,$AA$2:$AA$13,1),0)))</f>
        <v>48</v>
      </c>
      <c r="P22" s="19" t="str">
        <f>"&lt;=" &amp; F22</f>
        <v>&lt;=1869,5</v>
      </c>
      <c r="Q22" s="20">
        <f ca="1">DMAX($A$1:$C$85,"Vols",O21:P22)</f>
        <v>12.79</v>
      </c>
      <c r="R22" s="21">
        <f ca="1">DMAX($A$1:$C$85,"Strikes",O21:P22)</f>
        <v>1851.93</v>
      </c>
      <c r="S22" s="17">
        <f ca="1">O22</f>
        <v>48</v>
      </c>
      <c r="T22" s="19" t="str">
        <f>"&gt;=" &amp; F22</f>
        <v>&gt;=1869,5</v>
      </c>
      <c r="U22" s="20">
        <f ca="1">DMIN($A$1:$C$85,"Vols",S21:T22)</f>
        <v>13.51</v>
      </c>
      <c r="V22" s="22">
        <f ca="1">DMIN($A$1:$C$85,"Strikes",S21:T22)</f>
        <v>1882.35</v>
      </c>
      <c r="W22" s="23">
        <f>IF(N22=J22,I22,((M22-I22)/(N22-J22)*(F22-J22)+I22))</f>
        <v>13.974063729346973</v>
      </c>
      <c r="X22" s="24">
        <f ca="1">IF(V22=R22,Q22,((U22-Q22)/(V22-R22)*(F22-R22)+Q22))</f>
        <v>13.205857988165681</v>
      </c>
      <c r="Y22" s="25">
        <f ca="1">IF(O22=G22,W22,(X22-W22)/(O22-G22)*(E22-G22)+W22)</f>
        <v>13.282678562283809</v>
      </c>
    </row>
    <row r="23" spans="1:25" x14ac:dyDescent="0.25">
      <c r="A23" s="3">
        <v>68</v>
      </c>
      <c r="B23" s="10">
        <v>1750.45</v>
      </c>
      <c r="C23" s="10">
        <v>11.8</v>
      </c>
    </row>
    <row r="24" spans="1:25" x14ac:dyDescent="0.25">
      <c r="A24" s="3">
        <v>68</v>
      </c>
      <c r="B24" s="10">
        <v>1816.35</v>
      </c>
      <c r="C24" s="10">
        <v>11.96</v>
      </c>
      <c r="E24" s="12" t="s">
        <v>15</v>
      </c>
      <c r="F24" s="13" t="s">
        <v>1</v>
      </c>
      <c r="G24" s="14" t="s">
        <v>7</v>
      </c>
      <c r="H24" s="14" t="s">
        <v>8</v>
      </c>
      <c r="I24" s="14" t="s">
        <v>16</v>
      </c>
      <c r="J24" s="14" t="s">
        <v>17</v>
      </c>
      <c r="K24" s="14" t="s">
        <v>7</v>
      </c>
      <c r="L24" s="14" t="s">
        <v>8</v>
      </c>
      <c r="M24" s="14" t="s">
        <v>18</v>
      </c>
      <c r="N24" s="14" t="s">
        <v>19</v>
      </c>
      <c r="O24" s="14" t="s">
        <v>7</v>
      </c>
      <c r="P24" s="14" t="s">
        <v>8</v>
      </c>
      <c r="Q24" s="14" t="s">
        <v>16</v>
      </c>
      <c r="R24" s="14" t="s">
        <v>17</v>
      </c>
      <c r="S24" s="14" t="s">
        <v>7</v>
      </c>
      <c r="T24" s="14" t="s">
        <v>8</v>
      </c>
      <c r="U24" s="14" t="s">
        <v>18</v>
      </c>
      <c r="V24" s="14" t="s">
        <v>19</v>
      </c>
      <c r="W24" s="11" t="s">
        <v>20</v>
      </c>
      <c r="X24" s="15" t="s">
        <v>21</v>
      </c>
      <c r="Y24" s="16" t="s">
        <v>22</v>
      </c>
    </row>
    <row r="25" spans="1:25" x14ac:dyDescent="0.25">
      <c r="A25" s="3">
        <v>68</v>
      </c>
      <c r="B25" s="10">
        <v>1854.59</v>
      </c>
      <c r="C25" s="10">
        <v>12.42</v>
      </c>
      <c r="E25" s="17">
        <v>46</v>
      </c>
      <c r="F25" s="18">
        <v>1000</v>
      </c>
      <c r="G25" s="17">
        <f>IF(E25&lt;MIN($AA$2:$AA$13),$AA$2,IF(E25&gt;MAX($AA$2:$AA$13),$AA$13,VLOOKUP(E25,$AA$2:$AA$13,1)))</f>
        <v>28</v>
      </c>
      <c r="H25" s="19" t="str">
        <f>"&lt;=" &amp; F25</f>
        <v>&lt;=1000</v>
      </c>
      <c r="I25" s="20">
        <f>IF(DMAX($A$1:$C$85,"Vols",G24:H25)=0,M25,DMAX($A$1:$C$85,"Vols",G24:H25))</f>
        <v>12.89</v>
      </c>
      <c r="J25" s="21">
        <f>IF(DMAX($A$1:$C$85,"Strikes",G24:H25)=0,N25,DMAX($A$1:$C$85,"Strikes",G24:H25))</f>
        <v>1777.64</v>
      </c>
      <c r="K25" s="17">
        <f>G25</f>
        <v>28</v>
      </c>
      <c r="L25" s="19" t="str">
        <f>"&gt;=" &amp; F25</f>
        <v>&gt;=1000</v>
      </c>
      <c r="M25" s="20">
        <f>DMIN($A$1:$C$85,"Vols",K24:L25)</f>
        <v>12.89</v>
      </c>
      <c r="N25" s="21">
        <f>DMIN($A$1:$C$85,"Strikes",K24:L25)</f>
        <v>1777.64</v>
      </c>
      <c r="O25" s="17">
        <f ca="1">IF(E25&lt;MIN($AA$2:$AA$13),$AA$2,IF(E25&gt;MAX($AA$2:$AA$13),$AA$13,OFFSET($AA$2,MATCH(E25,$AA$2:$AA$13,1),0)))</f>
        <v>48</v>
      </c>
      <c r="P25" s="19" t="str">
        <f>"&lt;=" &amp; F25</f>
        <v>&lt;=1000</v>
      </c>
      <c r="Q25" s="20">
        <f ca="1">IF(DMAX($A$1:$C$85,"Vols",O24:P25)=0,U25,DMAX($A$1:$C$85,"Vols",O24:P25))</f>
        <v>12.2</v>
      </c>
      <c r="R25" s="21">
        <f ca="1">IF(DMAX($A$1:$C$85,"Strikes",O24:P25)=0,V25,DMAX($A$1:$C$85,"Strikes",O24:P25))</f>
        <v>1761.37</v>
      </c>
      <c r="S25" s="17">
        <f ca="1">O25</f>
        <v>48</v>
      </c>
      <c r="T25" s="19" t="str">
        <f>"&gt;=" &amp; F25</f>
        <v>&gt;=1000</v>
      </c>
      <c r="U25" s="20">
        <f ca="1">DMIN($A$1:$C$85,"Vols",S24:T25)</f>
        <v>12.2</v>
      </c>
      <c r="V25" s="22">
        <f ca="1">DMIN($A$1:$C$85,"Strikes",S24:T25)</f>
        <v>1761.37</v>
      </c>
      <c r="W25" s="23">
        <f>IF(N25=J25,I25,((M25-I25)/(N25-J25)*(F25-J25)+I25))</f>
        <v>12.89</v>
      </c>
      <c r="X25" s="24">
        <f ca="1">IF(V25=R25,Q25,((U25-Q25)/(V25-R25)*(F25-R25)+Q25))</f>
        <v>12.2</v>
      </c>
      <c r="Y25" s="25">
        <f ca="1">IF(O25=G25,W25,(X25-W25)/(O25-G25)*(E25-G25)+W25)</f>
        <v>12.269</v>
      </c>
    </row>
    <row r="26" spans="1:25" x14ac:dyDescent="0.25">
      <c r="A26" s="3">
        <v>68</v>
      </c>
      <c r="B26" s="10">
        <v>1888.5</v>
      </c>
      <c r="C26" s="10">
        <v>13.11</v>
      </c>
    </row>
    <row r="27" spans="1:25" x14ac:dyDescent="0.25">
      <c r="A27" s="3">
        <v>68</v>
      </c>
      <c r="B27" s="10">
        <v>1937.98</v>
      </c>
      <c r="C27" s="10">
        <v>14.1</v>
      </c>
      <c r="E27" s="12" t="s">
        <v>15</v>
      </c>
      <c r="F27" s="13" t="s">
        <v>1</v>
      </c>
      <c r="G27" s="14" t="s">
        <v>7</v>
      </c>
      <c r="H27" s="14" t="s">
        <v>8</v>
      </c>
      <c r="I27" s="14" t="s">
        <v>16</v>
      </c>
      <c r="J27" s="14" t="s">
        <v>17</v>
      </c>
      <c r="K27" s="14" t="s">
        <v>7</v>
      </c>
      <c r="L27" s="14" t="s">
        <v>8</v>
      </c>
      <c r="M27" s="14" t="s">
        <v>18</v>
      </c>
      <c r="N27" s="14" t="s">
        <v>19</v>
      </c>
      <c r="O27" s="14" t="s">
        <v>7</v>
      </c>
      <c r="P27" s="14" t="s">
        <v>8</v>
      </c>
      <c r="Q27" s="14" t="s">
        <v>16</v>
      </c>
      <c r="R27" s="14" t="s">
        <v>17</v>
      </c>
      <c r="S27" s="14" t="s">
        <v>7</v>
      </c>
      <c r="T27" s="14" t="s">
        <v>8</v>
      </c>
      <c r="U27" s="14" t="s">
        <v>18</v>
      </c>
      <c r="V27" s="14" t="s">
        <v>19</v>
      </c>
      <c r="W27" s="11" t="s">
        <v>20</v>
      </c>
      <c r="X27" s="15" t="s">
        <v>21</v>
      </c>
      <c r="Y27" s="16" t="s">
        <v>22</v>
      </c>
    </row>
    <row r="28" spans="1:25" x14ac:dyDescent="0.25">
      <c r="A28" s="3">
        <v>68</v>
      </c>
      <c r="B28" s="10">
        <v>1997.85</v>
      </c>
      <c r="C28" s="10">
        <v>15.46</v>
      </c>
      <c r="E28" s="17">
        <v>2</v>
      </c>
      <c r="F28" s="18">
        <v>3000</v>
      </c>
      <c r="G28" s="17">
        <f>IF(E28&lt;MIN($AA$2:$AA$13),$AA$2,IF(E28&gt;MAX($AA$2:$AA$13),$AA$13,VLOOKUP(E28,$AA$2:$AA$13,1)))</f>
        <v>6</v>
      </c>
      <c r="H28" s="19" t="str">
        <f>"&lt;=" &amp; F28</f>
        <v>&lt;=3000</v>
      </c>
      <c r="I28" s="20">
        <f>IF(DMAX($A$1:$C$85,"Vols",G27:H28)=0,M28,DMAX($A$1:$C$85,"Vols",G27:H28))</f>
        <v>21.31</v>
      </c>
      <c r="J28" s="21">
        <f>IF(DMAX($A$1:$C$85,"Strikes",G27:H28)=0,N28,DMAX($A$1:$C$85,"Strikes",G27:H28))</f>
        <v>1951.25</v>
      </c>
      <c r="K28" s="17">
        <f>G28</f>
        <v>6</v>
      </c>
      <c r="L28" s="19" t="str">
        <f>"&gt;=" &amp; F28</f>
        <v>&gt;=3000</v>
      </c>
      <c r="M28" s="20">
        <f>IF(DMIN($A$1:$C$85,"Vols",K27:L28)=0,I28,DMIN($A$1:$C$85,"Vols",K27:L28))</f>
        <v>21.31</v>
      </c>
      <c r="N28" s="21">
        <f>IF(DMIN($A$1:$C$85,"Strikes",K27:L28)=0,J28,DMIN($A$1:$C$85,"Strikes",K27:L28))</f>
        <v>1951.25</v>
      </c>
      <c r="O28" s="17">
        <f ca="1">IF(E28&lt;MIN($AA$2:$AA$13),$AA$2,IF(E28&gt;MAX($AA$2:$AA$13),$AA$13,OFFSET($AA$2,MATCH(E28,$AA$2:$AA$13,1),0)))</f>
        <v>6</v>
      </c>
      <c r="P28" s="19" t="str">
        <f>"&lt;=" &amp; F28</f>
        <v>&lt;=3000</v>
      </c>
      <c r="Q28" s="20">
        <f ca="1">IF(DMAX($A$1:$C$85,"Vols",O27:P28)=0,U28,DMAX($A$1:$C$85,"Vols",O27:P28))</f>
        <v>21.31</v>
      </c>
      <c r="R28" s="21">
        <f ca="1">IF(DMAX($A$1:$C$85,"Strikes",O27:P28)=0,V28,DMAX($A$1:$C$85,"Strikes",O27:P28))</f>
        <v>1951.25</v>
      </c>
      <c r="S28" s="17">
        <f ca="1">O28</f>
        <v>6</v>
      </c>
      <c r="T28" s="19" t="str">
        <f>"&gt;=" &amp; F28</f>
        <v>&gt;=3000</v>
      </c>
      <c r="U28" s="20">
        <f ca="1">IF(DMIN($A$1:$C$85,"Vols",S27:T28)=0,Q28,DMIN($A$1:$C$85,"Vols",S27:T28))</f>
        <v>21.31</v>
      </c>
      <c r="V28" s="22">
        <f ca="1">IF(DMIN($A$1:$C$85,"Strikes",S27:T28)=0,R28,DMIN($A$1:$C$85,"Strikes",S27:T28))</f>
        <v>1951.25</v>
      </c>
      <c r="W28" s="23">
        <f>IF(N28=J28,I28,((M28-I28)/(N28-J28)*(F28-J28)+I28))</f>
        <v>21.31</v>
      </c>
      <c r="X28" s="24">
        <f ca="1">IF(V28=R28,Q28,((U28-Q28)/(V28-R28)*(F28-R28)+Q28))</f>
        <v>21.31</v>
      </c>
      <c r="Y28" s="25">
        <f ca="1">IF(O28=G28,W28,(X28-W28)/(O28-G28)*(E28-G28)+W28)</f>
        <v>21.31</v>
      </c>
    </row>
    <row r="29" spans="1:25" x14ac:dyDescent="0.25">
      <c r="A29" s="3">
        <v>68</v>
      </c>
      <c r="B29" s="10">
        <v>2140.54</v>
      </c>
      <c r="C29" s="10">
        <v>18.27</v>
      </c>
    </row>
    <row r="30" spans="1:25" x14ac:dyDescent="0.25">
      <c r="A30" s="3">
        <v>90</v>
      </c>
      <c r="B30" s="10">
        <v>1741.47</v>
      </c>
      <c r="C30" s="10">
        <v>11.53</v>
      </c>
    </row>
    <row r="31" spans="1:25" x14ac:dyDescent="0.25">
      <c r="A31" s="3">
        <v>90</v>
      </c>
      <c r="B31" s="10">
        <v>1815.33</v>
      </c>
      <c r="C31" s="10">
        <v>11.66</v>
      </c>
    </row>
    <row r="32" spans="1:25" x14ac:dyDescent="0.25">
      <c r="A32" s="3">
        <v>90</v>
      </c>
      <c r="B32" s="10">
        <v>1858.55</v>
      </c>
      <c r="C32" s="10">
        <v>12.11</v>
      </c>
    </row>
    <row r="33" spans="1:3" x14ac:dyDescent="0.25">
      <c r="A33" s="3">
        <v>90</v>
      </c>
      <c r="B33" s="10">
        <v>1895.59</v>
      </c>
      <c r="C33" s="10">
        <v>12.82</v>
      </c>
    </row>
    <row r="34" spans="1:3" x14ac:dyDescent="0.25">
      <c r="A34" s="3">
        <v>90</v>
      </c>
      <c r="B34" s="10">
        <v>1951.42</v>
      </c>
      <c r="C34" s="10">
        <v>13.8</v>
      </c>
    </row>
    <row r="35" spans="1:3" x14ac:dyDescent="0.25">
      <c r="A35" s="3">
        <v>90</v>
      </c>
      <c r="B35" s="10">
        <v>2019.85</v>
      </c>
      <c r="C35" s="10">
        <v>15.14</v>
      </c>
    </row>
    <row r="36" spans="1:3" x14ac:dyDescent="0.25">
      <c r="A36" s="3">
        <v>90</v>
      </c>
      <c r="B36" s="10">
        <v>2183.2399999999998</v>
      </c>
      <c r="C36" s="10">
        <v>17.87</v>
      </c>
    </row>
    <row r="37" spans="1:3" x14ac:dyDescent="0.25">
      <c r="A37" s="3">
        <v>109</v>
      </c>
      <c r="B37" s="10">
        <v>1737.68</v>
      </c>
      <c r="C37" s="10">
        <v>11.2</v>
      </c>
    </row>
    <row r="38" spans="1:3" x14ac:dyDescent="0.25">
      <c r="A38" s="3">
        <v>109</v>
      </c>
      <c r="B38" s="10">
        <v>1816.39</v>
      </c>
      <c r="C38" s="10">
        <v>11.37</v>
      </c>
    </row>
    <row r="39" spans="1:3" x14ac:dyDescent="0.25">
      <c r="A39" s="3">
        <v>109</v>
      </c>
      <c r="B39" s="10">
        <v>1862.93</v>
      </c>
      <c r="C39" s="10">
        <v>11.85</v>
      </c>
    </row>
    <row r="40" spans="1:3" x14ac:dyDescent="0.25">
      <c r="A40" s="3">
        <v>109</v>
      </c>
      <c r="B40" s="10">
        <v>1901.88</v>
      </c>
      <c r="C40" s="10">
        <v>12.57</v>
      </c>
    </row>
    <row r="41" spans="1:3" x14ac:dyDescent="0.25">
      <c r="A41" s="3">
        <v>109</v>
      </c>
      <c r="B41" s="10">
        <v>1962.1</v>
      </c>
      <c r="C41" s="10">
        <v>13.51</v>
      </c>
    </row>
    <row r="42" spans="1:3" x14ac:dyDescent="0.25">
      <c r="A42" s="3">
        <v>109</v>
      </c>
      <c r="B42" s="10">
        <v>2036.87</v>
      </c>
      <c r="C42" s="10">
        <v>14.86</v>
      </c>
    </row>
    <row r="43" spans="1:3" x14ac:dyDescent="0.25">
      <c r="A43" s="3">
        <v>109</v>
      </c>
      <c r="B43" s="10">
        <v>2214.1799999999998</v>
      </c>
      <c r="C43" s="10">
        <v>17.47</v>
      </c>
    </row>
    <row r="44" spans="1:3" x14ac:dyDescent="0.25">
      <c r="A44" s="3">
        <v>129</v>
      </c>
      <c r="B44" s="10">
        <v>1734.1</v>
      </c>
      <c r="C44" s="10">
        <v>10.97</v>
      </c>
    </row>
    <row r="45" spans="1:3" x14ac:dyDescent="0.25">
      <c r="A45" s="3">
        <v>129</v>
      </c>
      <c r="B45" s="10">
        <v>1817.5</v>
      </c>
      <c r="C45" s="10">
        <v>11.22</v>
      </c>
    </row>
    <row r="46" spans="1:3" x14ac:dyDescent="0.25">
      <c r="A46" s="3">
        <v>129</v>
      </c>
      <c r="B46" s="10">
        <v>1868</v>
      </c>
      <c r="C46" s="10">
        <v>11.61</v>
      </c>
    </row>
    <row r="47" spans="1:3" x14ac:dyDescent="0.25">
      <c r="A47" s="3">
        <v>129</v>
      </c>
      <c r="B47" s="10">
        <v>1908.5</v>
      </c>
      <c r="C47" s="10">
        <v>12.34</v>
      </c>
    </row>
    <row r="48" spans="1:3" x14ac:dyDescent="0.25">
      <c r="A48" s="3">
        <v>129</v>
      </c>
      <c r="B48" s="10">
        <v>1972.91</v>
      </c>
      <c r="C48" s="10">
        <v>13.29</v>
      </c>
    </row>
    <row r="49" spans="1:3" x14ac:dyDescent="0.25">
      <c r="A49" s="3">
        <v>129</v>
      </c>
      <c r="B49" s="10">
        <v>2053.62</v>
      </c>
      <c r="C49" s="10">
        <v>14.61</v>
      </c>
    </row>
    <row r="50" spans="1:3" x14ac:dyDescent="0.25">
      <c r="A50" s="3">
        <v>129</v>
      </c>
      <c r="B50" s="10">
        <v>2245.4</v>
      </c>
      <c r="C50" s="10">
        <v>17.16</v>
      </c>
    </row>
    <row r="51" spans="1:3" x14ac:dyDescent="0.25">
      <c r="A51" s="3">
        <v>150</v>
      </c>
      <c r="B51" s="10">
        <v>1731.57</v>
      </c>
      <c r="C51" s="10">
        <v>10.75</v>
      </c>
    </row>
    <row r="52" spans="1:3" x14ac:dyDescent="0.25">
      <c r="A52" s="3">
        <v>150</v>
      </c>
      <c r="B52" s="10">
        <v>1820.61</v>
      </c>
      <c r="C52" s="10">
        <v>10.91</v>
      </c>
    </row>
    <row r="53" spans="1:3" x14ac:dyDescent="0.25">
      <c r="A53" s="3">
        <v>150</v>
      </c>
      <c r="B53" s="10">
        <v>1873.65</v>
      </c>
      <c r="C53" s="10">
        <v>11.38</v>
      </c>
    </row>
    <row r="54" spans="1:3" x14ac:dyDescent="0.25">
      <c r="A54" s="3">
        <v>150</v>
      </c>
      <c r="B54" s="10">
        <v>1915.35</v>
      </c>
      <c r="C54" s="10">
        <v>12.11</v>
      </c>
    </row>
    <row r="55" spans="1:3" x14ac:dyDescent="0.25">
      <c r="A55" s="3">
        <v>150</v>
      </c>
      <c r="B55" s="10">
        <v>1983.45</v>
      </c>
      <c r="C55" s="10">
        <v>13.06</v>
      </c>
    </row>
    <row r="56" spans="1:3" x14ac:dyDescent="0.25">
      <c r="A56" s="3">
        <v>150</v>
      </c>
      <c r="B56" s="10">
        <v>2070.4</v>
      </c>
      <c r="C56" s="10">
        <v>14.41</v>
      </c>
    </row>
    <row r="57" spans="1:3" x14ac:dyDescent="0.25">
      <c r="A57" s="3">
        <v>150</v>
      </c>
      <c r="B57" s="10">
        <v>2276.48</v>
      </c>
      <c r="C57" s="10">
        <v>16.91</v>
      </c>
    </row>
    <row r="58" spans="1:3" x14ac:dyDescent="0.25">
      <c r="A58" s="3">
        <v>170</v>
      </c>
      <c r="B58" s="10">
        <v>1729.51</v>
      </c>
      <c r="C58" s="10">
        <v>10.6</v>
      </c>
    </row>
    <row r="59" spans="1:3" x14ac:dyDescent="0.25">
      <c r="A59" s="3">
        <v>170</v>
      </c>
      <c r="B59" s="10">
        <v>1823.23</v>
      </c>
      <c r="C59" s="10">
        <v>10.76</v>
      </c>
    </row>
    <row r="60" spans="1:3" x14ac:dyDescent="0.25">
      <c r="A60" s="3">
        <v>170</v>
      </c>
      <c r="B60" s="10">
        <v>1879.28</v>
      </c>
      <c r="C60" s="10">
        <v>11.22</v>
      </c>
    </row>
    <row r="61" spans="1:3" x14ac:dyDescent="0.25">
      <c r="A61" s="3">
        <v>170</v>
      </c>
      <c r="B61" s="10">
        <v>1921.94</v>
      </c>
      <c r="C61" s="10">
        <v>11.92</v>
      </c>
    </row>
    <row r="62" spans="1:3" x14ac:dyDescent="0.25">
      <c r="A62" s="3">
        <v>170</v>
      </c>
      <c r="B62" s="10">
        <v>1993.45</v>
      </c>
      <c r="C62" s="10">
        <v>12.91</v>
      </c>
    </row>
    <row r="63" spans="1:3" x14ac:dyDescent="0.25">
      <c r="A63" s="3">
        <v>170</v>
      </c>
      <c r="B63" s="10">
        <v>2085.4299999999998</v>
      </c>
      <c r="C63" s="10">
        <v>14.22</v>
      </c>
    </row>
    <row r="64" spans="1:3" x14ac:dyDescent="0.25">
      <c r="A64" s="3">
        <v>170</v>
      </c>
      <c r="B64" s="10">
        <v>2305.2600000000002</v>
      </c>
      <c r="C64" s="10">
        <v>16.73</v>
      </c>
    </row>
    <row r="65" spans="1:3" x14ac:dyDescent="0.25">
      <c r="A65" s="3">
        <v>191</v>
      </c>
      <c r="B65" s="10">
        <v>1728.06</v>
      </c>
      <c r="C65" s="10">
        <v>10.48</v>
      </c>
    </row>
    <row r="66" spans="1:3" x14ac:dyDescent="0.25">
      <c r="A66" s="3">
        <v>191</v>
      </c>
      <c r="B66" s="10">
        <v>1826.56</v>
      </c>
      <c r="C66" s="10">
        <v>10.64</v>
      </c>
    </row>
    <row r="67" spans="1:3" x14ac:dyDescent="0.25">
      <c r="A67" s="3">
        <v>191</v>
      </c>
      <c r="B67" s="10">
        <v>1885.69</v>
      </c>
      <c r="C67" s="10">
        <v>11.1</v>
      </c>
    </row>
    <row r="68" spans="1:3" x14ac:dyDescent="0.25">
      <c r="A68" s="3">
        <v>191</v>
      </c>
      <c r="B68" s="10">
        <v>1929.24</v>
      </c>
      <c r="C68" s="10">
        <v>11.8</v>
      </c>
    </row>
    <row r="69" spans="1:3" x14ac:dyDescent="0.25">
      <c r="A69" s="3">
        <v>191</v>
      </c>
      <c r="B69" s="10">
        <v>2004.02</v>
      </c>
      <c r="C69" s="10">
        <v>12.77</v>
      </c>
    </row>
    <row r="70" spans="1:3" x14ac:dyDescent="0.25">
      <c r="A70" s="3">
        <v>191</v>
      </c>
      <c r="B70" s="10">
        <v>2101.2199999999998</v>
      </c>
      <c r="C70" s="10">
        <v>14.06</v>
      </c>
    </row>
    <row r="71" spans="1:3" x14ac:dyDescent="0.25">
      <c r="A71" s="3">
        <v>191</v>
      </c>
      <c r="B71" s="10">
        <v>2334.94</v>
      </c>
      <c r="C71" s="10">
        <v>16.579999999999998</v>
      </c>
    </row>
    <row r="72" spans="1:3" x14ac:dyDescent="0.25">
      <c r="A72" s="3">
        <v>214</v>
      </c>
      <c r="B72" s="10">
        <v>1726.86</v>
      </c>
      <c r="C72" s="10">
        <v>10.41</v>
      </c>
    </row>
    <row r="73" spans="1:3" x14ac:dyDescent="0.25">
      <c r="A73" s="3">
        <v>214</v>
      </c>
      <c r="B73" s="10">
        <v>1830.23</v>
      </c>
      <c r="C73" s="10">
        <v>10.58</v>
      </c>
    </row>
    <row r="74" spans="1:3" x14ac:dyDescent="0.25">
      <c r="A74" s="3">
        <v>214</v>
      </c>
      <c r="B74" s="10">
        <v>1893.36</v>
      </c>
      <c r="C74" s="10">
        <v>11.05</v>
      </c>
    </row>
    <row r="75" spans="1:3" x14ac:dyDescent="0.25">
      <c r="A75" s="3">
        <v>214</v>
      </c>
      <c r="B75" s="10">
        <v>1937.89</v>
      </c>
      <c r="C75" s="10">
        <v>11.74</v>
      </c>
    </row>
    <row r="76" spans="1:3" x14ac:dyDescent="0.25">
      <c r="A76" s="3">
        <v>214</v>
      </c>
      <c r="B76" s="10">
        <v>2016.24</v>
      </c>
      <c r="C76" s="10">
        <v>12.67</v>
      </c>
    </row>
    <row r="77" spans="1:3" x14ac:dyDescent="0.25">
      <c r="A77" s="3">
        <v>214</v>
      </c>
      <c r="B77" s="10">
        <v>2119.5300000000002</v>
      </c>
      <c r="C77" s="10">
        <v>13.96</v>
      </c>
    </row>
    <row r="78" spans="1:3" x14ac:dyDescent="0.25">
      <c r="A78" s="3">
        <v>214</v>
      </c>
      <c r="B78" s="10">
        <v>2369.73</v>
      </c>
      <c r="C78" s="10">
        <v>16.510000000000002</v>
      </c>
    </row>
    <row r="79" spans="1:3" x14ac:dyDescent="0.25">
      <c r="A79" s="3">
        <v>235</v>
      </c>
      <c r="B79" s="10">
        <v>1725.37</v>
      </c>
      <c r="C79" s="10">
        <v>10.42</v>
      </c>
    </row>
    <row r="80" spans="1:3" x14ac:dyDescent="0.25">
      <c r="A80" s="3">
        <v>235</v>
      </c>
      <c r="B80" s="10">
        <v>1834.24</v>
      </c>
      <c r="C80" s="10">
        <v>10.59</v>
      </c>
    </row>
    <row r="81" spans="1:3" x14ac:dyDescent="0.25">
      <c r="A81" s="3">
        <v>235</v>
      </c>
      <c r="B81" s="10">
        <v>1900.42</v>
      </c>
      <c r="C81" s="10">
        <v>11.03</v>
      </c>
    </row>
    <row r="82" spans="1:3" x14ac:dyDescent="0.25">
      <c r="A82" s="3">
        <v>235</v>
      </c>
      <c r="B82" s="10">
        <v>1946.21</v>
      </c>
      <c r="C82" s="10">
        <v>11.72</v>
      </c>
    </row>
    <row r="83" spans="1:3" x14ac:dyDescent="0.25">
      <c r="A83" s="3">
        <v>235</v>
      </c>
      <c r="B83" s="10">
        <v>2027.83</v>
      </c>
      <c r="C83" s="10">
        <v>12.62</v>
      </c>
    </row>
    <row r="84" spans="1:3" x14ac:dyDescent="0.25">
      <c r="A84" s="3">
        <v>235</v>
      </c>
      <c r="B84" s="10">
        <v>2136.48</v>
      </c>
      <c r="C84" s="10">
        <v>13.89</v>
      </c>
    </row>
    <row r="85" spans="1:3" x14ac:dyDescent="0.25">
      <c r="A85" s="3">
        <v>235</v>
      </c>
      <c r="B85" s="10">
        <v>2403.39</v>
      </c>
      <c r="C85" s="10">
        <v>16.45</v>
      </c>
    </row>
  </sheetData>
  <mergeCells count="5">
    <mergeCell ref="E1:Y1"/>
    <mergeCell ref="O2:V2"/>
    <mergeCell ref="G2:N2"/>
    <mergeCell ref="W2:Y2"/>
    <mergeCell ref="E2:F2"/>
  </mergeCells>
  <phoneticPr fontId="27" type="noConversion"/>
  <pageMargins left="0.75" right="0.75" top="1" bottom="1" header="0.49212598499999999" footer="0.49212598499999999"/>
  <pageSetup paperSize="9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>
    <pageSetUpPr fitToPage="1"/>
  </sheetPr>
  <dimension ref="A1:M51"/>
  <sheetViews>
    <sheetView showGridLines="0" workbookViewId="0"/>
  </sheetViews>
  <sheetFormatPr defaultColWidth="9.109375" defaultRowHeight="12.6" x14ac:dyDescent="0.25"/>
  <cols>
    <col min="1" max="1" width="11.109375" style="150" customWidth="1"/>
    <col min="2" max="2" width="9.33203125" style="150" bestFit="1" customWidth="1"/>
    <col min="3" max="16384" width="9.109375" style="150"/>
  </cols>
  <sheetData>
    <row r="1" spans="1:13" ht="13.2" thickBot="1" x14ac:dyDescent="0.3">
      <c r="A1" s="173">
        <v>0</v>
      </c>
      <c r="B1" s="173">
        <v>1</v>
      </c>
      <c r="C1" s="173">
        <v>2</v>
      </c>
      <c r="D1" s="173">
        <v>3</v>
      </c>
      <c r="E1" s="173">
        <v>4</v>
      </c>
      <c r="F1" s="173">
        <v>5</v>
      </c>
      <c r="G1" s="173">
        <v>6</v>
      </c>
      <c r="H1" s="173">
        <v>7</v>
      </c>
      <c r="I1" s="173">
        <v>8</v>
      </c>
      <c r="J1" s="173">
        <v>9</v>
      </c>
      <c r="K1" s="173">
        <v>10</v>
      </c>
      <c r="L1" s="173">
        <v>11</v>
      </c>
      <c r="M1" s="173">
        <v>12</v>
      </c>
    </row>
    <row r="2" spans="1:13" ht="13.2" thickBot="1" x14ac:dyDescent="0.3">
      <c r="M2" s="152">
        <f>IF( $B$7&gt;=M$1, L4*$B$14, "")</f>
        <v>44.510818569849391</v>
      </c>
    </row>
    <row r="3" spans="1:13" ht="13.2" thickBot="1" x14ac:dyDescent="0.3">
      <c r="A3" s="288" t="s">
        <v>149</v>
      </c>
      <c r="B3" s="289"/>
      <c r="M3" s="151">
        <f>IF($B$7=12,IF($B$5="PUT",IF($B$10-M2&lt;=0,0,$B$10-M2),IF(M2-$B$10&lt;=0,0,M2-$B$10)),"")</f>
        <v>22.510818569849391</v>
      </c>
    </row>
    <row r="4" spans="1:13" ht="13.2" thickBot="1" x14ac:dyDescent="0.3">
      <c r="A4" s="290"/>
      <c r="B4" s="291"/>
      <c r="L4" s="152">
        <f>IF( $B$7&gt;=L$1, K6*$B$14, "")</f>
        <v>41.640181681569146</v>
      </c>
    </row>
    <row r="5" spans="1:13" ht="13.2" thickBot="1" x14ac:dyDescent="0.3">
      <c r="A5" s="284" t="s">
        <v>141</v>
      </c>
      <c r="B5" s="286" t="s">
        <v>89</v>
      </c>
      <c r="D5" s="170"/>
      <c r="L5" s="151">
        <f>IF( $B$7&gt;L$1, IF( $B$5="PUT", IF((((M3*$B$17) + (M7*$B$18)) * $B$16) &lt; ($B$10 - L4), $B$10-L4, ((M3*$B$17) + (M7*$B$18)) * $B$16),((M3*$B$17) + (M7*$B$18)) * $B$16), IF( $B$7=L$1, IF($B$5="PUT", IF($B$10-L4 &lt;= 0, 0, $B$10-L4), IF( L4-$B$10 &lt;= 0, 0, L4-$B$10)), ""))</f>
        <v>19.689016289685807</v>
      </c>
    </row>
    <row r="6" spans="1:13" ht="13.2" thickBot="1" x14ac:dyDescent="0.3">
      <c r="A6" s="285"/>
      <c r="B6" s="287"/>
      <c r="D6" s="170"/>
      <c r="F6" s="169"/>
      <c r="G6" s="168"/>
      <c r="K6" s="152">
        <f>IF( $B$7&gt;=K$1, J8*$B$14, "")</f>
        <v>38.954680821093547</v>
      </c>
      <c r="M6" s="152">
        <f>IF( $B$7&gt;=M$1,L4*$B$15,"")</f>
        <v>38.954680821093547</v>
      </c>
    </row>
    <row r="7" spans="1:13" ht="13.2" thickBot="1" x14ac:dyDescent="0.3">
      <c r="A7" s="172" t="s">
        <v>146</v>
      </c>
      <c r="B7" s="171">
        <v>12</v>
      </c>
      <c r="F7" s="166"/>
      <c r="K7" s="151">
        <f>IF( $B$7&gt;K$1, IF( $B$5="PUT", IF((((L5*$B$17) + (L9*$B$18)) * $B$16) &lt; ($B$10 - K6), $B$10-K6, ((L5*$B$17) + (L9*$B$18)) * $B$16),((L5*$B$17) + (L9*$B$18)) * $B$16), IF( $B$7=K$1, IF($B$5="PUT", IF($B$10-K6 &lt;= 0, 0, $B$10-K6), IF( K6-$B$10 &lt;= 0, 0, K6-$B$10)), ""))</f>
        <v>17.052241636465507</v>
      </c>
      <c r="M7" s="151">
        <f>IF($B$7=12,IF($B$5="PUT",IF($B$10-M6&lt;=0,0,$B$10-M6),IF(M6-$B$10&lt;=0,0,M6-$B$10)),"")</f>
        <v>16.954680821093547</v>
      </c>
    </row>
    <row r="8" spans="1:13" ht="13.2" thickBot="1" x14ac:dyDescent="0.3">
      <c r="A8" s="165" t="s">
        <v>145</v>
      </c>
      <c r="B8" s="164">
        <v>0.4</v>
      </c>
      <c r="E8" s="166"/>
      <c r="J8" s="152">
        <f>IF( $B$7&gt;=J$1, I10*$B$14, "")</f>
        <v>36.442376007810203</v>
      </c>
      <c r="L8" s="152">
        <f>IF( $B$7&gt;=L$1,K6*$B$15,"")</f>
        <v>36.442376007810203</v>
      </c>
    </row>
    <row r="9" spans="1:13" ht="13.2" thickBot="1" x14ac:dyDescent="0.3">
      <c r="A9" s="165" t="s">
        <v>143</v>
      </c>
      <c r="B9" s="167">
        <v>20</v>
      </c>
      <c r="J9" s="151">
        <f>IF( $B$7&gt;J$1, IF( $B$5="PUT", IF((((K7*$B$17) + (K11*$B$18)) * $B$16) &lt; ($B$10 - J8), $B$10-J8, ((K7*$B$17) + (K11*$B$18)) * $B$16),((K7*$B$17) + (K11*$B$18)) * $B$16), IF( $B$7=J$1, IF($B$5="PUT", IF($B$10-J8 &lt;= 0, 0, $B$10-J8), IF( J8-$B$10 &lt;= 0, 0, J8-$B$10)), ""))</f>
        <v>14.588554870199449</v>
      </c>
      <c r="L9" s="151">
        <f>IF( $B$7&gt;L$1, IF( $B$5="PUT", IF((((M7*$B$17) + (M11*$B$18)) * $B$16) &lt; ($B$10 - L8), $B$10-L8, ((M7*$B$17) + (M11*$B$18)) * $B$16),((M7*$B$17) + (M11*$B$18)) * $B$16), IF( $B$7=L$1, IF($B$5="PUT", IF($B$10-L8 &lt;= 0, 0, $B$10-L8), IF( L8-$B$10 &lt;= 0, 0, L8-$B$10)), ""))</f>
        <v>14.491210615926862</v>
      </c>
    </row>
    <row r="10" spans="1:13" ht="13.2" thickBot="1" x14ac:dyDescent="0.3">
      <c r="A10" s="165" t="s">
        <v>144</v>
      </c>
      <c r="B10" s="167">
        <v>22</v>
      </c>
      <c r="I10" s="152">
        <f>IF( $B$7&gt;=I$1, H12*$B$14, "")</f>
        <v>34.092097306455081</v>
      </c>
      <c r="K10" s="152">
        <f>IF( $B$7&gt;=K$1,J8*$B$15,"")</f>
        <v>34.092097306455081</v>
      </c>
      <c r="M10" s="152">
        <f>IF( $B$7&gt;=M$1,L8*$B$15,"")</f>
        <v>34.092097306455081</v>
      </c>
    </row>
    <row r="11" spans="1:13" ht="13.2" thickBot="1" x14ac:dyDescent="0.3">
      <c r="A11" s="165" t="s">
        <v>140</v>
      </c>
      <c r="B11" s="164">
        <v>0.08</v>
      </c>
      <c r="F11" s="159"/>
      <c r="I11" s="151">
        <f>IF( $B$7&gt;I$1, IF( $B$5="PUT", IF((((J9*$B$17) + (J13*$B$18)) * $B$16) &lt; ($B$10 - I10), $B$10-I10, ((J9*$B$17) + (J13*$B$18)) * $B$16),((J9*$B$17) + (J13*$B$18)) * $B$16), IF( $B$7=I$1, IF($B$5="PUT", IF($B$10-I10 &lt;= 0, 0, $B$10-I10), IF( I10-$B$10 &lt;= 0, 0, I10-$B$10)), ""))</f>
        <v>12.286786295712815</v>
      </c>
      <c r="K11" s="151">
        <f>IF( $B$7&gt;K$1, IF( $B$5="PUT", IF((((L9*$B$17) + (L13*$B$18)) * $B$16) &lt; ($B$10 - K10), $B$10-K10, ((L9*$B$17) + (L13*$B$18)) * $B$16),((L9*$B$17) + (L13*$B$18)) * $B$16), IF( $B$7=K$1, IF($B$5="PUT", IF($B$10-K10 &lt;= 0, 0, $B$10-K10), IF( K10-$B$10 &lt;= 0, 0, K10-$B$10)), ""))</f>
        <v>12.189658121827041</v>
      </c>
      <c r="M11" s="151">
        <f>IF($B$7=12,IF($B$5="PUT",IF($B$10-M10&lt;=0,0,$B$10-M10),IF(M10-$B$10&lt;=0,0,M10-$B$10)),"")</f>
        <v>12.092097306455081</v>
      </c>
    </row>
    <row r="12" spans="1:13" ht="13.2" thickBot="1" x14ac:dyDescent="0.3">
      <c r="A12" s="163" t="s">
        <v>139</v>
      </c>
      <c r="B12" s="162">
        <f>4/12</f>
        <v>0.33333333333333331</v>
      </c>
      <c r="D12" s="158"/>
      <c r="H12" s="152">
        <f>IF( $B$7&gt;=H$1, G14*$B$14, "")</f>
        <v>31.893395164566325</v>
      </c>
      <c r="J12" s="152">
        <f>IF( $B$7&gt;=J$1,I10*$B$15,"")</f>
        <v>31.893395164566325</v>
      </c>
      <c r="L12" s="152">
        <f>IF( $B$7&gt;=L$1,K10*$B$15,"")</f>
        <v>31.893395164566325</v>
      </c>
    </row>
    <row r="13" spans="1:13" ht="13.8" thickBot="1" x14ac:dyDescent="0.3">
      <c r="A13" s="161" t="s">
        <v>138</v>
      </c>
      <c r="B13" s="160">
        <f>IF(ISERR(B12/B7),"",B12/B7)</f>
        <v>2.7777777777777776E-2</v>
      </c>
      <c r="F13" s="157"/>
      <c r="H13" s="151">
        <f>IF( $B$7&gt;H$1, IF( $B$5="PUT", IF((((I11*$B$17) + (I15*$B$18)) * $B$16) &lt; ($B$10 - H12), $B$10-H12, ((I11*$B$17) + (I15*$B$18)) * $B$16),((I11*$B$17) + (I15*$B$18)) * $B$16), IF( $B$7=H$1, IF($B$5="PUT", IF($B$10-H12 &lt;= 0, 0, $B$10-H12), IF( H12-$B$10 &lt;= 0, 0, H12-$B$10)), ""))</f>
        <v>10.136486600100037</v>
      </c>
      <c r="J13" s="151">
        <f>IF( $B$7&gt;J$1, IF( $B$5="PUT", IF((((K11*$B$17) + (K15*$B$18)) * $B$16) &lt; ($B$10 - J12), $B$10-J12, ((K11*$B$17) + (K15*$B$18)) * $B$16),((K11*$B$17) + (K15*$B$18)) * $B$16), IF( $B$7=J$1, IF($B$5="PUT", IF($B$10-J12 &lt;= 0, 0, $B$10-J12), IF( J12-$B$10 &lt;= 0, 0, J12-$B$10)), ""))</f>
        <v>10.03957402695557</v>
      </c>
      <c r="L13" s="151">
        <f>IF( $B$7&gt;L$1, IF( $B$5="PUT", IF((((M11*$B$17) + (M15*$B$18)) * $B$16) &lt; ($B$10 - L12), $B$10-L12, ((M11*$B$17) + (M15*$B$18)) * $B$16),((M11*$B$17) + (M15*$B$18)) * $B$16), IF( $B$7=L$1, IF($B$5="PUT", IF($B$10-L12 &lt;= 0, 0, $B$10-L12), IF( L12-$B$10 &lt;= 0, 0, L12-$B$10)), ""))</f>
        <v>9.9422297726829854</v>
      </c>
    </row>
    <row r="14" spans="1:13" ht="13.2" thickBot="1" x14ac:dyDescent="0.3">
      <c r="A14" s="156" t="s">
        <v>137</v>
      </c>
      <c r="B14" s="155">
        <f>IF(ISERR(EXP(B8*SQRT(B13))),"",EXP(B8*SQRT(B13)))</f>
        <v>1.0689391057472464</v>
      </c>
      <c r="G14" s="152">
        <f>IF( $B$7&gt;=G$1, F16*$B$14, "")</f>
        <v>29.836493952825418</v>
      </c>
      <c r="I14" s="152">
        <f>IF( $B$7&gt;=I$1,H12*$B$15,"")</f>
        <v>29.836493952825418</v>
      </c>
      <c r="K14" s="152">
        <f>IF( $B$7&gt;=K$1,J12*$B$15,"")</f>
        <v>29.836493952825418</v>
      </c>
      <c r="M14" s="152">
        <f>IF( $B$7&gt;=M$1,L12*$B$15,"")</f>
        <v>29.836493952825418</v>
      </c>
    </row>
    <row r="15" spans="1:13" ht="13.2" thickBot="1" x14ac:dyDescent="0.3">
      <c r="A15" s="156" t="s">
        <v>136</v>
      </c>
      <c r="B15" s="155">
        <f>IF(ISERR(1/B14),"",1/B14)</f>
        <v>0.93550698503161767</v>
      </c>
      <c r="G15" s="151">
        <f>IF( $B$7&gt;G$1, IF( $B$5="PUT", IF((((H13*$B$17) + (H17*$B$18)) * $B$16) &lt; ($B$10 - G14), $B$10-G14, ((H13*$B$17) + (H17*$B$18)) * $B$16),((H13*$B$17) + (H17*$B$18)) * $B$16), IF( $B$7=G$1, IF($B$5="PUT", IF($B$10-G14 &lt;= 0, 0, $B$10-G14), IF( G14-$B$10 &lt;= 0, 0, G14-$B$10)), ""))</f>
        <v>8.1587119224901947</v>
      </c>
      <c r="I15" s="151">
        <f>IF( $B$7&gt;I$1, IF( $B$5="PUT", IF((((J13*$B$17) + (J17*$B$18)) * $B$16) &lt; ($B$10 - I14), $B$10-I14, ((J13*$B$17) + (J17*$B$18)) * $B$16),((J13*$B$17) + (J17*$B$18)) * $B$16), IF( $B$7=I$1, IF($B$5="PUT", IF($B$10-I14 &lt;= 0, 0, $B$10-I14), IF( I14-$B$10 &lt;= 0, 0, I14-$B$10)), ""))</f>
        <v>8.0311829420831522</v>
      </c>
      <c r="K15" s="151">
        <f>IF( $B$7&gt;K$1, IF( $B$5="PUT", IF((((L13*$B$17) + (L17*$B$18)) * $B$16) &lt; ($B$10 - K14), $B$10-K14, ((L13*$B$17) + (L17*$B$18)) * $B$16),((L13*$B$17) + (L17*$B$18)) * $B$16), IF( $B$7=K$1, IF($B$5="PUT", IF($B$10-K14 &lt;= 0, 0, $B$10-K14), IF( K14-$B$10 &lt;= 0, 0, K14-$B$10)), ""))</f>
        <v>7.9340547681973765</v>
      </c>
      <c r="M15" s="151">
        <f>IF($B$7=12,IF($B$5="PUT",IF($B$10-M14&lt;=0,0,$B$10-M14),IF(M14-$B$10&lt;=0,0,M14-$B$10)),"")</f>
        <v>7.8364939528254176</v>
      </c>
    </row>
    <row r="16" spans="1:13" ht="15" thickBot="1" x14ac:dyDescent="0.3">
      <c r="A16" s="156" t="s">
        <v>135</v>
      </c>
      <c r="B16" s="155">
        <f>IF(ISERR(EXP(-B11*B13)),"",EXP(-B11*B13))</f>
        <v>0.99778024508560637</v>
      </c>
      <c r="F16" s="152">
        <f>IF( $B$7&gt;=F$1, E18*$B$14, "")</f>
        <v>27.912248501721798</v>
      </c>
      <c r="H16" s="152">
        <f>IF( $B$7&gt;=H$1,G14*$B$15,"")</f>
        <v>27.912248501721798</v>
      </c>
      <c r="J16" s="152">
        <f>IF( $B$7&gt;=J$1,I14*$B$15,"")</f>
        <v>27.912248501721798</v>
      </c>
      <c r="L16" s="152">
        <f>IF( $B$7&gt;=L$1,K14*$B$15,"")</f>
        <v>27.912248501721798</v>
      </c>
    </row>
    <row r="17" spans="1:13" ht="13.2" thickBot="1" x14ac:dyDescent="0.3">
      <c r="A17" s="156" t="s">
        <v>134</v>
      </c>
      <c r="B17" s="155">
        <f>IF(ISERR((EXP(B11*B13)-B15)/(B14-B15)),"",(EXP(B11*B13)-B15)/(B14-B15))</f>
        <v>0.50001234933979843</v>
      </c>
      <c r="F17" s="151">
        <f>IF( $B$7&gt;F$1, IF( $B$5="PUT", IF((((G15*$B$17) + (G19*$B$18)) * $B$16) &lt; ($B$10 - F16), $B$10-F16, ((G15*$B$17) + (G19*$B$18)) * $B$16),((G15*$B$17) + (G19*$B$18)) * $B$16), IF( $B$7=F$1, IF($B$5="PUT", IF($B$10-F16 &lt;= 0, 0, $B$10-F16), IF( F16-$B$10 &lt;= 0, 0, F16-$B$10)), ""))</f>
        <v>6.3940771854533844</v>
      </c>
      <c r="H17" s="151">
        <f>IF( $B$7&gt;H$1, IF( $B$5="PUT", IF((((I15*$B$17) + (I19*$B$18)) * $B$16) &lt; ($B$10 - H16), $B$10-H16, ((I15*$B$17) + (I19*$B$18)) * $B$16),((I15*$B$17) + (I19*$B$18)) * $B$16), IF( $B$7=H$1, IF($B$5="PUT", IF($B$10-H16 &lt;= 0, 0, $B$10-H16), IF( H16-$B$10 &lt;= 0, 0, H16-$B$10)), ""))</f>
        <v>6.2171417039106727</v>
      </c>
      <c r="J17" s="151">
        <f>IF( $B$7&gt;J$1, IF( $B$5="PUT", IF((((K15*$B$17) + (K19*$B$18)) * $B$16) &lt; ($B$10 - J16), $B$10-J16, ((K15*$B$17) + (K19*$B$18)) * $B$16),((K15*$B$17) + (K19*$B$18)) * $B$16), IF( $B$7=J$1, IF($B$5="PUT", IF($B$10-J16 &lt;= 0, 0, $B$10-J16), IF( J16-$B$10 &lt;= 0, 0, J16-$B$10)), ""))</f>
        <v>6.0584273641110435</v>
      </c>
      <c r="L17" s="151">
        <f>IF( $B$7&gt;L$1, IF( $B$5="PUT", IF((((M15*$B$17) + (M19*$B$18)) * $B$16) &lt; ($B$10 - L16), $B$10-L16, ((M15*$B$17) + (M19*$B$18)) * $B$16),((M15*$B$17) + (M19*$B$18)) * $B$16), IF( $B$7=L$1, IF($B$5="PUT", IF($B$10-L16 &lt;= 0, 0, $B$10-L16), IF( L16-$B$10 &lt;= 0, 0, L16-$B$10)), ""))</f>
        <v>5.9610831098384587</v>
      </c>
    </row>
    <row r="18" spans="1:13" ht="13.2" thickBot="1" x14ac:dyDescent="0.3">
      <c r="A18" s="154" t="s">
        <v>133</v>
      </c>
      <c r="B18" s="153">
        <f>IF(ISERR(1-B17),"",1-B17)</f>
        <v>0.49998765066020157</v>
      </c>
      <c r="E18" s="152">
        <f>IF( $B$7&gt;=E$1, D20*$B$14, "")</f>
        <v>26.112103441299048</v>
      </c>
      <c r="G18" s="152">
        <f>IF( $B$7&gt;=G$1,F16*$B$15,"")</f>
        <v>26.112103441299048</v>
      </c>
      <c r="I18" s="152">
        <f>IF( $B$7&gt;=I$1,H16*$B$15,"")</f>
        <v>26.112103441299048</v>
      </c>
      <c r="K18" s="152">
        <f>IF( $B$7&gt;=K$1,J16*$B$15,"")</f>
        <v>26.112103441299048</v>
      </c>
      <c r="M18" s="152">
        <f>IF( $B$7&gt;=M$1,L16*$B$15,"")</f>
        <v>26.112103441299048</v>
      </c>
    </row>
    <row r="19" spans="1:13" ht="13.2" thickBot="1" x14ac:dyDescent="0.3">
      <c r="E19" s="151">
        <f>IF( $B$7&gt;E$1, IF( $B$5="PUT", IF((((F17*$B$17) + (F21*$B$18)) * $B$16) &lt; ($B$10 - E18), $B$10-E18, ((F17*$B$17) + (F21*$B$18)) * $B$16),((F17*$B$17) + (F21*$B$18)) * $B$16), IF( $B$7=E$1, IF($B$5="PUT", IF($B$10-E18 &lt;= 0, 0, $B$10-E18), IF( E18-$B$10 &lt;= 0, 0, E18-$B$10)), ""))</f>
        <v>4.8782873793762001</v>
      </c>
      <c r="G19" s="151">
        <f>IF( $B$7&gt;G$1, IF( $B$5="PUT", IF((((H17*$B$17) + (H21*$B$18)) * $B$16) &lt; ($B$10 - G18), $B$10-G18, ((H17*$B$17) + (H21*$B$18)) * $B$16),((H17*$B$17) + (H21*$B$18)) * $B$16), IF( $B$7=G$1, IF($B$5="PUT", IF($B$10-G18 &lt;= 0, 0, $B$10-G18), IF( G18-$B$10 &lt;= 0, 0, G18-$B$10)), ""))</f>
        <v>4.6578057005719415</v>
      </c>
      <c r="I19" s="151">
        <f>IF( $B$7&gt;I$1, IF( $B$5="PUT", IF((((J17*$B$17) + (J21*$B$18)) * $B$16) &lt; ($B$10 - I18), $B$10-I18, ((J17*$B$17) + (J21*$B$18)) * $B$16),((J17*$B$17) + (J21*$B$18)) * $B$16), IF( $B$7=I$1, IF($B$5="PUT", IF($B$10-I18 &lt;= 0, 0, $B$10-I18), IF( I18-$B$10 &lt;= 0, 0, I18-$B$10)), ""))</f>
        <v>4.4306740035169598</v>
      </c>
      <c r="K19" s="151">
        <f>IF( $B$7&gt;K$1, IF( $B$5="PUT", IF((((L17*$B$17) + (L21*$B$18)) * $B$16) &lt; ($B$10 - K18), $B$10-K18, ((L17*$B$17) + (L21*$B$18)) * $B$16),((L17*$B$17) + (L21*$B$18)) * $B$16), IF( $B$7=K$1, IF($B$5="PUT", IF($B$10-K18 &lt;= 0, 0, $B$10-K18), IF( K18-$B$10 &lt;= 0, 0, K18-$B$10)), ""))</f>
        <v>4.2096642566710081</v>
      </c>
      <c r="M19" s="151">
        <f>IF($B$7=12,IF($B$5="PUT",IF($B$10-M18&lt;=0,0,$B$10-M18),IF(M18-$B$10&lt;=0,0,M18-$B$10)),"")</f>
        <v>4.1121034412990483</v>
      </c>
    </row>
    <row r="20" spans="1:13" ht="13.2" thickBot="1" x14ac:dyDescent="0.3">
      <c r="D20" s="152">
        <f>IF( $B$7&gt;=D$1, C22*$B$14, "")</f>
        <v>24.4280551632034</v>
      </c>
      <c r="F20" s="152">
        <f>IF( $B$7&gt;=F$1,E18*$B$15,"")</f>
        <v>24.4280551632034</v>
      </c>
      <c r="H20" s="152">
        <f>IF( $B$7&gt;=H$1,G18*$B$15,"")</f>
        <v>24.4280551632034</v>
      </c>
      <c r="J20" s="152">
        <f>IF( $B$7&gt;=J$1,I18*$B$15,"")</f>
        <v>24.4280551632034</v>
      </c>
      <c r="L20" s="152">
        <f>IF( $B$7&gt;=L$1,K18*$B$15,"")</f>
        <v>24.4280551632034</v>
      </c>
    </row>
    <row r="21" spans="1:13" ht="13.2" thickBot="1" x14ac:dyDescent="0.3">
      <c r="D21" s="151">
        <f>IF( $B$7&gt;D$1, IF( $B$5="PUT", IF((((E19*$B$17) + (E23*$B$18)) * $B$16) &lt; ($B$10 - D20), $B$10-D20, ((E19*$B$17) + (E23*$B$18)) * $B$16),((E19*$B$17) + (E23*$B$18)) * $B$16), IF( $B$7=D$1, IF($B$5="PUT", IF($B$10-D20 &lt;= 0, 0, $B$10-D20), IF( D20-$B$10 &lt;= 0, 0, D20-$B$10)), ""))</f>
        <v>3.6267019445498008</v>
      </c>
      <c r="F21" s="151">
        <f>IF( $B$7&gt;F$1, IF( $B$5="PUT", IF((((G19*$B$17) + (G23*$B$18)) * $B$16) &lt; ($B$10 - F20), $B$10-F20, ((G19*$B$17) + (G23*$B$18)) * $B$16),((G19*$B$17) + (G23*$B$18)) * $B$16), IF( $B$7=F$1, IF($B$5="PUT", IF($B$10-F20 &lt;= 0, 0, $B$10-F20), IF( F20-$B$10 &lt;= 0, 0, F20-$B$10)), ""))</f>
        <v>3.3841286169480282</v>
      </c>
      <c r="H21" s="151">
        <f>IF( $B$7&gt;H$1, IF( $B$5="PUT", IF((((I19*$B$17) + (I23*$B$18)) * $B$16) &lt; ($B$10 - H20), $B$10-H20, ((I19*$B$17) + (I23*$B$18)) * $B$16),((I19*$B$17) + (I23*$B$18)) * $B$16), IF( $B$7=H$1, IF($B$5="PUT", IF($B$10-H20 &lt;= 0, 0, $B$10-H20), IF( H20-$B$10 &lt;= 0, 0, H20-$B$10)), ""))</f>
        <v>3.1191175573538983</v>
      </c>
      <c r="J21" s="151">
        <f>IF( $B$7&gt;J$1, IF( $B$5="PUT", IF((((K19*$B$17) + (K23*$B$18)) * $B$16) &lt; ($B$10 - J20), $B$10-J20, ((K19*$B$17) + (K23*$B$18)) * $B$16),((K19*$B$17) + (K23*$B$18)) * $B$16), IF( $B$7=J$1, IF($B$5="PUT", IF($B$10-J20 &lt;= 0, 0, $B$10-J20), IF( J20-$B$10 &lt;= 0, 0, J20-$B$10)), ""))</f>
        <v>2.8225545016838485</v>
      </c>
      <c r="L21" s="151">
        <f>IF( $B$7&gt;L$1, IF( $B$5="PUT", IF((((M19*$B$17) + (M23*$B$18)) * $B$16) &lt; ($B$10 - L20), $B$10-L20, ((M19*$B$17) + (M23*$B$18)) * $B$16),((M19*$B$17) + (M23*$B$18)) * $B$16), IF( $B$7=L$1, IF($B$5="PUT", IF($B$10-L20 &lt;= 0, 0, $B$10-L20), IF( L20-$B$10 &lt;= 0, 0, L20-$B$10)), ""))</f>
        <v>2.4768897713200597</v>
      </c>
    </row>
    <row r="22" spans="1:13" ht="13.2" thickBot="1" x14ac:dyDescent="0.3">
      <c r="C22" s="152">
        <f>IF( $B$7&gt;=C$1, B24*$B$14, "")</f>
        <v>22.852616235914454</v>
      </c>
      <c r="E22" s="152">
        <f>IF( $B$7&gt;=E$1,D20*$B$15,"")</f>
        <v>22.852616235914454</v>
      </c>
      <c r="G22" s="152">
        <f>IF( $B$7&gt;=G$1,F20*$B$15,"")</f>
        <v>22.852616235914454</v>
      </c>
      <c r="I22" s="152">
        <f>IF( $B$7&gt;=I$1,H20*$B$15,"")</f>
        <v>22.852616235914454</v>
      </c>
      <c r="K22" s="152">
        <f>IF( $B$7&gt;=K$1,J20*$B$15,"")</f>
        <v>22.852616235914454</v>
      </c>
      <c r="M22" s="152">
        <f>IF( $B$7&gt;=M$1,L20*$B$15,"")</f>
        <v>22.852616235914454</v>
      </c>
    </row>
    <row r="23" spans="1:13" ht="13.2" thickBot="1" x14ac:dyDescent="0.3">
      <c r="C23" s="151">
        <f>IF( $B$7&gt;C$1, IF( $B$5="PUT", IF((((D21*$B$17) + (D25*$B$18)) * $B$16) &lt; ($B$10 - C22), $B$10-C22, ((D21*$B$17) + (D25*$B$18)) * $B$16),((D21*$B$17) + (D25*$B$18)) * $B$16), IF( $B$7=C$1, IF($B$5="PUT", IF($B$10-C22 &lt;= 0, 0, $B$10-C22), IF( C22-$B$10 &lt;= 0, 0, C22-$B$10)), ""))</f>
        <v>2.6315286656641446</v>
      </c>
      <c r="E23" s="151">
        <f>IF( $B$7&gt;E$1, IF( $B$5="PUT", IF((((F21*$B$17) + (F25*$B$18)) * $B$16) &lt; ($B$10 - E22), $B$10-E22, ((F21*$B$17) + (F25*$B$18)) * $B$16),((F21*$B$17) + (F25*$B$18)) * $B$16), IF( $B$7=E$1, IF($B$5="PUT", IF($B$10-E22 &lt;= 0, 0, $B$10-E22), IF( E22-$B$10 &lt;= 0, 0, E22-$B$10)), ""))</f>
        <v>2.3911916799657109</v>
      </c>
      <c r="G23" s="151">
        <f>IF( $B$7&gt;G$1, IF( $B$5="PUT", IF((((H21*$B$17) + (H25*$B$18)) * $B$16) &lt; ($B$10 - G22), $B$10-G22, ((H21*$B$17) + (H25*$B$18)) * $B$16),((H21*$B$17) + (H25*$B$18)) * $B$16), IF( $B$7=G$1, IF($B$5="PUT", IF($B$10-G22 &lt;= 0, 0, $B$10-G22), IF( G22-$B$10 &lt;= 0, 0, G22-$B$10)), ""))</f>
        <v>2.1254462831533285</v>
      </c>
      <c r="I23" s="151">
        <f>IF( $B$7&gt;I$1, IF( $B$5="PUT", IF((((J21*$B$17) + (J25*$B$18)) * $B$16) &lt; ($B$10 - I22), $B$10-I22, ((J21*$B$17) + (J25*$B$18)) * $B$16),((J21*$B$17) + (J25*$B$18)) * $B$16), IF( $B$7=I$1, IF($B$5="PUT", IF($B$10-I22 &lt;= 0, 0, $B$10-I22), IF( I22-$B$10 &lt;= 0, 0, I22-$B$10)), ""))</f>
        <v>1.8213748241114573</v>
      </c>
      <c r="K23" s="151">
        <f>IF( $B$7&gt;K$1, IF( $B$5="PUT", IF((((L21*$B$17) + (L25*$B$18)) * $B$16) &lt; ($B$10 - K22), $B$10-K22, ((L21*$B$17) + (L25*$B$18)) * $B$16),((L21*$B$17) + (L25*$B$18)) * $B$16), IF( $B$7=K$1, IF($B$5="PUT", IF($B$10-K22 &lt;= 0, 0, $B$10-K22), IF( K22-$B$10 &lt;= 0, 0, K22-$B$10)), ""))</f>
        <v>1.4479351711803561</v>
      </c>
      <c r="M23" s="151">
        <f>IF($B$7=12,IF($B$5="PUT",IF($B$10-M22&lt;=0,0,$B$10-M22),IF(M22-$B$10&lt;=0,0,M22-$B$10)),"")</f>
        <v>0.85261623591445357</v>
      </c>
    </row>
    <row r="24" spans="1:13" ht="13.2" thickBot="1" x14ac:dyDescent="0.3">
      <c r="B24" s="152">
        <f>IF( $B$7&gt;=B$1, A26*$B$14, "")</f>
        <v>21.378782114944926</v>
      </c>
      <c r="D24" s="152">
        <f>IF( $B$7&gt;=D$1,C22*$B$15,"")</f>
        <v>21.378782114944926</v>
      </c>
      <c r="F24" s="152">
        <f>IF( $B$7&gt;=F$1,E22*$B$15,"")</f>
        <v>21.378782114944926</v>
      </c>
      <c r="H24" s="152">
        <f>IF( $B$7&gt;=H$1,G22*$B$15,"")</f>
        <v>21.378782114944926</v>
      </c>
      <c r="J24" s="152">
        <f>IF( $B$7&gt;=J$1,I22*$B$15,"")</f>
        <v>21.378782114944926</v>
      </c>
      <c r="L24" s="152">
        <f>IF( $B$7&gt;=L$1,K22*$B$15,"")</f>
        <v>21.378782114944926</v>
      </c>
      <c r="M24" s="170"/>
    </row>
    <row r="25" spans="1:13" ht="13.2" thickBot="1" x14ac:dyDescent="0.3">
      <c r="B25" s="151">
        <f>IF( $B$7&gt;B$1, IF( $B$5="PUT", IF((((C23*$B$17) + (C27*$B$18)) * $B$16) &lt; ($B$10 - B24), $B$10-B24, ((C23*$B$17) + (C27*$B$18)) * $B$16),((C23*$B$17) + (C27*$B$18)) * $B$16), IF( $B$7=B$1, IF($B$5="PUT", IF($B$10-B24 &lt;= 0, 0, $B$10-B24), IF( B24-$B$10 &lt;= 0, 0, B24-$B$10)), ""))</f>
        <v>1.8670955976801686</v>
      </c>
      <c r="D25" s="151">
        <f>IF( $B$7&gt;D$1, IF( $B$5="PUT", IF((((E23*$B$17) + (E27*$B$18)) * $B$16) &lt; ($B$10 - D24), $B$10-D24, ((E23*$B$17) + (E27*$B$18)) * $B$16),((E23*$B$17) + (E27*$B$18)) * $B$16), IF( $B$7=D$1, IF($B$5="PUT", IF($B$10-D24 &lt;= 0, 0, $B$10-D24), IF( D24-$B$10 &lt;= 0, 0, D24-$B$10)), ""))</f>
        <v>1.6480152036218725</v>
      </c>
      <c r="F25" s="151">
        <f>IF( $B$7&gt;F$1, IF( $B$5="PUT", IF((((G23*$B$17) + (G27*$B$18)) * $B$16) &lt; ($B$10 - F24), $B$10-F24, ((G23*$B$17) + (G27*$B$18)) * $B$16),((G23*$B$17) + (G27*$B$18)) * $B$16), IF( $B$7=F$1, IF($B$5="PUT", IF($B$10-F24 &lt;= 0, 0, $B$10-F24), IF( F24-$B$10 &lt;= 0, 0, F24-$B$10)), ""))</f>
        <v>1.4088452917768233</v>
      </c>
      <c r="H25" s="151">
        <f>IF( $B$7&gt;H$1, IF( $B$5="PUT", IF((((I23*$B$17) + (I27*$B$18)) * $B$16) &lt; ($B$10 - H24), $B$10-H24, ((I23*$B$17) + (I27*$B$18)) * $B$16),((I23*$B$17) + (I27*$B$18)) * $B$16), IF( $B$7=H$1, IF($B$5="PUT", IF($B$10-H24 &lt;= 0, 0, $B$10-H24), IF( H24-$B$10 &lt;= 0, 0, H24-$B$10)), ""))</f>
        <v>1.1411830883183578</v>
      </c>
      <c r="J25" s="151">
        <f>IF( $B$7&gt;J$1, IF( $B$5="PUT", IF((((K23*$B$17) + (K27*$B$18)) * $B$16) &lt; ($B$10 - J24), $B$10-J24, ((K23*$B$17) + (K27*$B$18)) * $B$16),((K23*$B$17) + (K27*$B$18)) * $B$16), IF( $B$7=J$1, IF($B$5="PUT", IF($B$10-J24 &lt;= 0, 0, $B$10-J24), IF( J24-$B$10 &lt;= 0, 0, J24-$B$10)), ""))</f>
        <v>0.82824989017655104</v>
      </c>
      <c r="L25" s="151">
        <f>IF( $B$7&gt;L$1, IF( $B$5="PUT", IF((((M23*$B$17) + (M27*$B$18)) * $B$16) &lt; ($B$10 - L24), $B$10-L24, ((M23*$B$17) + (M27*$B$18)) * $B$16),((M23*$B$17) + (M27*$B$18)) * $B$16), IF( $B$7=L$1, IF($B$5="PUT", IF($B$10-L24 &lt;= 0, 0, $B$10-L24), IF( L24-$B$10 &lt;= 0, 0, L24-$B$10)), ""))</f>
        <v>0.42537232429261118</v>
      </c>
    </row>
    <row r="26" spans="1:13" ht="13.2" thickBot="1" x14ac:dyDescent="0.3">
      <c r="A26" s="152">
        <f>B9</f>
        <v>20</v>
      </c>
      <c r="C26" s="152">
        <f>IF( $B$7&gt;=C$1,B24*$B$15,"")</f>
        <v>19.999999999999996</v>
      </c>
      <c r="E26" s="152">
        <f>IF( $B$7&gt;=E$1,D24*$B$15,"")</f>
        <v>19.999999999999996</v>
      </c>
      <c r="G26" s="152">
        <f>IF( $B$7&gt;=G$1,F24*$B$15,"")</f>
        <v>19.999999999999996</v>
      </c>
      <c r="I26" s="152">
        <f>IF( $B$7&gt;=I$1,H24*$B$15,"")</f>
        <v>19.999999999999996</v>
      </c>
      <c r="K26" s="152">
        <f>IF( $B$7&gt;=K$1,J24*$B$15,"")</f>
        <v>19.999999999999996</v>
      </c>
      <c r="M26" s="152">
        <f>IF( $B$7&gt;=M$1,L24*$B$15,"")</f>
        <v>19.999999999999996</v>
      </c>
    </row>
    <row r="27" spans="1:13" ht="13.2" thickBot="1" x14ac:dyDescent="0.3">
      <c r="A27" s="178">
        <f>IF( $B$7&gt;A$1, IF( $B$5="PUT", IF((((B25*$B$17) + (B29*$B$18)) * $B$16) &lt; ($B$10 - A26), $B$10-A26, ((B25*$B$17) + (B29*$B$18)) * $B$16),((B25*$B$17) + (B29*$B$18)) * $B$16), IF( $B$7=A$1, IF($B$5="PUT", IF($B$10-A26 &lt;= 0, 0, $B$10-A26), IF( A26-$B$10 &lt;= 0, 0, A26-$B$10)), ""))</f>
        <v>1.2978218200240417</v>
      </c>
      <c r="C27" s="151">
        <f>IF( $B$7&gt;C$1, IF( $B$5="PUT", IF((((D25*$B$17) + (D29*$B$18)) * $B$16) &lt; ($B$10 - C26), $B$10-C26, ((D25*$B$17) + (D29*$B$18)) * $B$16),((D25*$B$17) + (D29*$B$18)) * $B$16), IF( $B$7=C$1, IF($B$5="PUT", IF($B$10-C26 &lt;= 0, 0, $B$10-C26), IF( C26-$B$10 &lt;= 0, 0, C26-$B$10)), ""))</f>
        <v>1.11093240269142</v>
      </c>
      <c r="E27" s="151">
        <f>IF( $B$7&gt;E$1, IF( $B$5="PUT", IF((((F25*$B$17) + (F29*$B$18)) * $B$16) &lt; ($B$10 - E26), $B$10-E26, ((F25*$B$17) + (F29*$B$18)) * $B$16),((F25*$B$17) + (F29*$B$18)) * $B$16), IF( $B$7=E$1, IF($B$5="PUT", IF($B$10-E26 &lt;= 0, 0, $B$10-E26), IF( E26-$B$10 &lt;= 0, 0, E26-$B$10)), ""))</f>
        <v>0.91213485292189456</v>
      </c>
      <c r="G27" s="151">
        <f>IF( $B$7&gt;G$1, IF( $B$5="PUT", IF((((H25*$B$17) + (H29*$B$18)) * $B$16) &lt; ($B$10 - G26), $B$10-G26, ((H25*$B$17) + (H29*$B$18)) * $B$16),((H25*$B$17) + (H29*$B$18)) * $B$16), IF( $B$7=G$1, IF($B$5="PUT", IF($B$10-G26 &lt;= 0, 0, $B$10-G26), IF( G26-$B$10 &lt;= 0, 0, G26-$B$10)), ""))</f>
        <v>0.69847755320407268</v>
      </c>
      <c r="I27" s="151">
        <f>IF( $B$7&gt;I$1, IF( $B$5="PUT", IF((((J25*$B$17) + (J29*$B$18)) * $B$16) &lt; ($B$10 - I26), $B$10-I26, ((J25*$B$17) + (J29*$B$18)) * $B$16),((J25*$B$17) + (J29*$B$18)) * $B$16), IF( $B$7=I$1, IF($B$5="PUT", IF($B$10-I26 &lt;= 0, 0, $B$10-I26), IF( I26-$B$10 &lt;= 0, 0, I26-$B$10)), ""))</f>
        <v>0.46603544191786789</v>
      </c>
      <c r="K27" s="151">
        <f>IF( $B$7&gt;K$1, IF( $B$5="PUT", IF((((L25*$B$17) + (L29*$B$18)) * $B$16) &lt; ($B$10 - K26), $B$10-K26, ((L25*$B$17) + (L29*$B$18)) * $B$16),((L25*$B$17) + (L29*$B$18)) * $B$16), IF( $B$7=K$1, IF($B$5="PUT", IF($B$10-K26 &lt;= 0, 0, $B$10-K26), IF( K26-$B$10 &lt;= 0, 0, K26-$B$10)), ""))</f>
        <v>0.21221929239950924</v>
      </c>
      <c r="M27" s="151">
        <f>IF($B$7=12,IF($B$5="PUT",IF($B$10-M26&lt;=0,0,$B$10-M26),IF(M26-$B$10&lt;=0,0,M26-$B$10)),"")</f>
        <v>0</v>
      </c>
    </row>
    <row r="28" spans="1:13" ht="13.2" thickBot="1" x14ac:dyDescent="0.3">
      <c r="B28" s="152">
        <f>IF( $B$7&gt;=B$1,A26*$B$15,"")</f>
        <v>18.710139700632354</v>
      </c>
      <c r="D28" s="152">
        <f>IF( $B$7&gt;=D$1,C26*$B$15,"")</f>
        <v>18.71013970063235</v>
      </c>
      <c r="F28" s="152">
        <f>IF( $B$7&gt;=F$1,E26*$B$15,"")</f>
        <v>18.71013970063235</v>
      </c>
      <c r="H28" s="152">
        <f>IF( $B$7&gt;=H$1,G26*$B$15,"")</f>
        <v>18.71013970063235</v>
      </c>
      <c r="J28" s="152">
        <f>IF( $B$7&gt;=J$1,I26*$B$15,"")</f>
        <v>18.71013970063235</v>
      </c>
      <c r="L28" s="152">
        <f>IF( $B$7&gt;=L$1,K26*$B$15,"")</f>
        <v>18.71013970063235</v>
      </c>
    </row>
    <row r="29" spans="1:13" ht="13.2" thickBot="1" x14ac:dyDescent="0.3">
      <c r="B29" s="151">
        <f>IF( $B$7&gt;B$1, IF( $B$5="PUT", IF((((C27*$B$17) + (C31*$B$18)) * $B$16) &lt; ($B$10 - B28), $B$10-B28, ((C27*$B$17) + (C31*$B$18)) * $B$16),((C27*$B$17) + (C31*$B$18)) * $B$16), IF( $B$7=B$1, IF($B$5="PUT", IF($B$10-B28 &lt;= 0, 0, $B$10-B28), IF( B28-$B$10 &lt;= 0, 0, B28-$B$10)), ""))</f>
        <v>0.73429457440296408</v>
      </c>
      <c r="D29" s="151">
        <f>IF( $B$7&gt;D$1, IF( $B$5="PUT", IF((((E27*$B$17) + (E31*$B$18)) * $B$16) &lt; ($B$10 - D28), $B$10-D28, ((E27*$B$17) + (E31*$B$18)) * $B$16),((E27*$B$17) + (E31*$B$18)) * $B$16), IF( $B$7=D$1, IF($B$5="PUT", IF($B$10-D28 &lt;= 0, 0, $B$10-D28), IF( D28-$B$10 &lt;= 0, 0, D28-$B$10)), ""))</f>
        <v>0.5787661602186962</v>
      </c>
      <c r="F29" s="151">
        <f>IF( $B$7&gt;F$1, IF( $B$5="PUT", IF((((G27*$B$17) + (G31*$B$18)) * $B$16) &lt; ($B$10 - F28), $B$10-F28, ((G27*$B$17) + (G31*$B$18)) * $B$16),((G27*$B$17) + (G31*$B$18)) * $B$16), IF( $B$7=F$1, IF($B$5="PUT", IF($B$10-F28 &lt;= 0, 0, $B$10-F28), IF( F28-$B$10 &lt;= 0, 0, F28-$B$10)), ""))</f>
        <v>0.41945841790529237</v>
      </c>
      <c r="H29" s="151">
        <f>IF( $B$7&gt;H$1, IF( $B$5="PUT", IF((((I27*$B$17) + (I31*$B$18)) * $B$16) &lt; ($B$10 - H28), $B$10-H28, ((I27*$B$17) + (I31*$B$18)) * $B$16),((I27*$B$17) + (I31*$B$18)) * $B$16), IF( $B$7=H$1, IF($B$5="PUT", IF($B$10-H28 &lt;= 0, 0, $B$10-H28), IF( H28-$B$10 &lt;= 0, 0, H28-$B$10)), ""))</f>
        <v>0.25885802233489347</v>
      </c>
      <c r="J29" s="151">
        <f>IF( $B$7&gt;J$1, IF( $B$5="PUT", IF((((K27*$B$17) + (K31*$B$18)) * $B$16) &lt; ($B$10 - J28), $B$10-J28, ((K27*$B$17) + (K31*$B$18)) * $B$16),((K27*$B$17) + (K31*$B$18)) * $B$16), IF( $B$7=J$1, IF($B$5="PUT", IF($B$10-J28 &lt;= 0, 0, $B$10-J28), IF( J28-$B$10 &lt;= 0, 0, J28-$B$10)), ""))</f>
        <v>0.10587672374182877</v>
      </c>
      <c r="L29" s="151">
        <f>IF( $B$7&gt;L$1, IF( $B$5="PUT", IF((((M27*$B$17) + (M31*$B$18)) * $B$16) &lt; ($B$10 - L28), $B$10-L28, ((M27*$B$17) + (M31*$B$18)) * $B$16),((M27*$B$17) + (M31*$B$18)) * $B$16), IF( $B$7=L$1, IF($B$5="PUT", IF($B$10-L28 &lt;= 0, 0, $B$10-L28), IF( L28-$B$10 &lt;= 0, 0, L28-$B$10)), ""))</f>
        <v>0</v>
      </c>
    </row>
    <row r="30" spans="1:13" ht="13.2" thickBot="1" x14ac:dyDescent="0.3">
      <c r="C30" s="152">
        <f>IF( $B$7&gt;=C$1,B28*$B$15,"")</f>
        <v>17.503466380858946</v>
      </c>
      <c r="E30" s="152">
        <f>IF( $B$7&gt;=E$1,D28*$B$15,"")</f>
        <v>17.503466380858942</v>
      </c>
      <c r="G30" s="152">
        <f>IF( $B$7&gt;=G$1,F28*$B$15,"")</f>
        <v>17.503466380858942</v>
      </c>
      <c r="I30" s="152">
        <f>IF( $B$7&gt;=I$1,H28*$B$15,"")</f>
        <v>17.503466380858942</v>
      </c>
      <c r="K30" s="152">
        <f>IF( $B$7&gt;=K$1,J28*$B$15,"")</f>
        <v>17.503466380858942</v>
      </c>
      <c r="M30" s="152">
        <f>IF( $B$7&gt;=M$1,L28*$B$15,"")</f>
        <v>17.503466380858942</v>
      </c>
    </row>
    <row r="31" spans="1:13" ht="13.2" thickBot="1" x14ac:dyDescent="0.3">
      <c r="C31" s="151">
        <f>IF( $B$7&gt;C$1, IF( $B$5="PUT", IF((((D29*$B$17) + (D33*$B$18)) * $B$16) &lt; ($B$10 - C30), $B$10-C30, ((D29*$B$17) + (D33*$B$18)) * $B$16),((D29*$B$17) + (D33*$B$18)) * $B$16), IF( $B$7=C$1, IF($B$5="PUT", IF($B$10-C30 &lt;= 0, 0, $B$10-C30), IF( C30-$B$10 &lt;= 0, 0, C30-$B$10)), ""))</f>
        <v>0.36090538171279257</v>
      </c>
      <c r="E31" s="151">
        <f>IF( $B$7&gt;E$1, IF( $B$5="PUT", IF((((F29*$B$17) + (F33*$B$18)) * $B$16) &lt; ($B$10 - E30), $B$10-E30, ((F29*$B$17) + (F33*$B$18)) * $B$16),((F29*$B$17) + (F33*$B$18)) * $B$16), IF( $B$7=E$1, IF($B$5="PUT", IF($B$10-E30 &lt;= 0, 0, $B$10-E30), IF( E30-$B$10 &lt;= 0, 0, E30-$B$10)), ""))</f>
        <v>0.24795621744838775</v>
      </c>
      <c r="G31" s="151">
        <f>IF( $B$7&gt;G$1, IF( $B$5="PUT", IF((((H29*$B$17) + (H33*$B$18)) * $B$16) &lt; ($B$10 - G30), $B$10-G30, ((H29*$B$17) + (H33*$B$18)) * $B$16),((H29*$B$17) + (H33*$B$18)) * $B$16), IF( $B$7=G$1, IF($B$5="PUT", IF($B$10-G30 &lt;= 0, 0, $B$10-G30), IF( G30-$B$10 &lt;= 0, 0, G30-$B$10)), ""))</f>
        <v>0.14229187812467908</v>
      </c>
      <c r="I31" s="151">
        <f>IF( $B$7&gt;I$1, IF( $B$5="PUT", IF((((J29*$B$17) + (J33*$B$18)) * $B$16) &lt; ($B$10 - I30), $B$10-I30, ((J29*$B$17) + (J33*$B$18)) * $B$16),((J29*$B$17) + (J33*$B$18)) * $B$16), IF( $B$7=I$1, IF($B$5="PUT", IF($B$10-I30 &lt;= 0, 0, $B$10-I30), IF( I30-$B$10 &lt;= 0, 0, I30-$B$10)), ""))</f>
        <v>5.2822156287283206E-2</v>
      </c>
      <c r="K31" s="151">
        <f>IF( $B$7&gt;K$1, IF( $B$5="PUT", IF((((L29*$B$17) + (L33*$B$18)) * $B$16) &lt; ($B$10 - K30), $B$10-K30, ((L29*$B$17) + (L33*$B$18)) * $B$16),((L29*$B$17) + (L33*$B$18)) * $B$16), IF( $B$7=K$1, IF( $B$5="PUT", IF( K30 &lt; $B$10, 0, $B$10-K30), IF( K30-$B$10 &lt;= 0, 0, K30-$B$10)), ""))</f>
        <v>0</v>
      </c>
      <c r="M31" s="151">
        <f>IF($B$7=12,IF($B$5="PUT",IF($B$10-M30&lt;=0,0,$B$10-M30),IF(M30-$B$10&lt;=0,0,M30-$B$10)),"")</f>
        <v>0</v>
      </c>
    </row>
    <row r="32" spans="1:13" ht="13.2" thickBot="1" x14ac:dyDescent="0.3">
      <c r="D32" s="152">
        <f>IF( $B$7&gt;=D$1,C30*$B$15,"")</f>
        <v>16.374615061559634</v>
      </c>
      <c r="F32" s="152">
        <f>IF( $B$7&gt;=F$1,E30*$B$15,"")</f>
        <v>16.374615061559631</v>
      </c>
      <c r="H32" s="152">
        <f>IF( $B$7&gt;=H$1,G30*$B$15,"")</f>
        <v>16.374615061559631</v>
      </c>
      <c r="J32" s="152">
        <f>IF( $B$7&gt;=J$1,I30*$B$15,"")</f>
        <v>16.374615061559631</v>
      </c>
      <c r="L32" s="152">
        <f>IF( $B$7&gt;=L$1,K30*$B$15,"")</f>
        <v>16.374615061559631</v>
      </c>
    </row>
    <row r="33" spans="4:13" ht="13.2" thickBot="1" x14ac:dyDescent="0.3">
      <c r="D33" s="151">
        <f>IF( $B$7&gt;D$1, IF( $B$5="PUT", IF((((E31*$B$17) + (E35*$B$18)) * $B$16) &lt; ($B$10 - D32), $B$10-D32, ((E31*$B$17) + (E35*$B$18)) * $B$16),((E31*$B$17) + (E35*$B$18)) * $B$16), IF( $B$7=D$1, IF($B$5="PUT", IF($B$10-D32 &lt;= 0, 0, $B$10-D32), IF( D32-$B$10 &lt;= 0, 0, D32-$B$10)), ""))</f>
        <v>0.14463968834469582</v>
      </c>
      <c r="F33" s="151">
        <f>IF( $B$7&gt;F$1, IF( $B$5="PUT", IF((((G31*$B$17) + (G35*$B$18)) * $B$16) &lt; ($B$10 - F32), $B$10-F32, ((G31*$B$17) + (G35*$B$18)) * $B$16),((G31*$B$17) + (G35*$B$18)) * $B$16), IF( $B$7=F$1, IF($B$5="PUT", IF($B$10-F32 &lt;= 0, 0, $B$10-F32), IF( F32-$B$10 &lt;= 0, 0, F32-$B$10)), ""))</f>
        <v>7.7548825291778714E-2</v>
      </c>
      <c r="H33" s="151">
        <f>IF( $B$7&gt;H$1, IF( $B$5="PUT", IF((((I31*$B$17) + (I35*$B$18)) * $B$16) &lt; ($B$10 - H32), $B$10-H32, ((I31*$B$17) + (I35*$B$18)) * $B$16),((I31*$B$17) + (I35*$B$18)) * $B$16), IF( $B$7=H$1, IF($B$5="PUT", IF($B$10-H32 &lt;= 0, 0, $B$10-H32), IF( H32-$B$10 &lt;= 0, 0, H32-$B$10)), ""))</f>
        <v>2.6353102893906934E-2</v>
      </c>
      <c r="J33" s="151">
        <f>IF( $B$7&gt;J$1, IF( $B$5="PUT", IF((((K31*$B$17) + (K35*$B$18)) * $B$16) &lt; ($B$10 - J32), $B$10-J32, ((K31*$B$17) + (K35*$B$18)) * $B$16),((K31*$B$17) + (K35*$B$18)) * $B$16), IF( $B$7=J$1, IF($B$5="PUT", IF($B$10-J32 &lt;= 0, 0, $B$10-J32), IF( J32-$B$10 &lt;= 0, 0, J32-$B$10)), ""))</f>
        <v>0</v>
      </c>
      <c r="L33" s="151">
        <f>IF( $B$7&gt;L$1, IF( $B$5="PUT", IF((((M31*$B$17) + (M35*$B$18)) * $B$16) &lt; ($B$10 - L32), $B$10-L32, ((M31*$B$17) + (M35*$B$18)) * $B$16),((M31*$B$17) + (M35*$B$18)) * $B$16), IF( $B$7=L$1, IF($B$5="PUT", IF($B$10-L32 &lt;= 0, 0, $B$10-L32), IF( L32-$B$10 &lt;= 0, 0, L32-$B$10)), ""))</f>
        <v>0</v>
      </c>
    </row>
    <row r="34" spans="4:13" ht="13.2" thickBot="1" x14ac:dyDescent="0.3">
      <c r="E34" s="152">
        <f>IF( $B$7&gt;=E$1,D32*$B$15,"")</f>
        <v>15.318566767292969</v>
      </c>
      <c r="G34" s="152">
        <f>IF( $B$7&gt;=G$1,F32*$B$15,"")</f>
        <v>15.318566767292966</v>
      </c>
      <c r="I34" s="152">
        <f>IF( $B$7&gt;=I$1,H32*$B$15,"")</f>
        <v>15.318566767292966</v>
      </c>
      <c r="K34" s="152">
        <f>IF( $B$7&gt;=K$1,J32*$B$15,"")</f>
        <v>15.318566767292966</v>
      </c>
      <c r="M34" s="152">
        <f>IF( $B$7&gt;=M$1,L32*$B$15,"")</f>
        <v>15.318566767292966</v>
      </c>
    </row>
    <row r="35" spans="4:13" ht="13.2" thickBot="1" x14ac:dyDescent="0.3">
      <c r="E35" s="151">
        <f>IF( $B$7&gt;E$1, IF( $B$5="PUT", IF((((F33*$B$17) + (F37*$B$18)) * $B$16) &lt; ($B$10 - E34), $B$10-E34, ((F33*$B$17) + (F37*$B$18)) * $B$16),((F33*$B$17) + (F37*$B$18)) * $B$16), IF( $B$7=E$1, IF($B$5="PUT", IF($B$10-E34 &lt;= 0, 0, $B$10-E34), IF( E34-$B$10 &lt;= 0, 0, E34-$B$10)), ""))</f>
        <v>4.1961629305431333E-2</v>
      </c>
      <c r="G35" s="151">
        <f>IF( $B$7&gt;G$1, IF( $B$5="PUT", IF((((H33*$B$17) + (H37*$B$18)) * $B$16) &lt; ($B$10 - G34), $B$10-G34, ((H33*$B$17) + (H37*$B$18)) * $B$16),((H33*$B$17) + (H37*$B$18)) * $B$16), IF( $B$7=G$1, IF($B$5="PUT", IF($B$10-G34 &lt;= 0, 0, $B$10-G34), IF( G34-$B$10 &lt;= 0, 0, G34-$B$10)), ""))</f>
        <v>1.3147627453142074E-2</v>
      </c>
      <c r="I35" s="151">
        <f>IF( $B$7&gt;I$1, IF( $B$5="PUT", IF((((J33*$B$17) + (J37*$B$18)) * $B$16) &lt; ($B$10 - I34), $B$10-I34, ((J33*$B$17) + (J37*$B$18)) * $B$16),((J33*$B$17) + (J37*$B$18)) * $B$16), IF( $B$7=I$1, IF($B$5="PUT", IF($B$10-I34 &lt;= 0, 0, $B$10-I34), IF( I34-$B$10 &lt;= 0, 0, I34-$B$10)), ""))</f>
        <v>0</v>
      </c>
      <c r="K35" s="151">
        <f>IF( $B$7&gt;K$1, IF( $B$5="PUT", IF((((L33*$B$17) + (L37*$B$18)) * $B$16) &lt; ($B$10 - K34), $B$10-K34, ((L33*$B$17) + (L37*$B$18)) * $B$16),((L33*$B$17) + (L37*$B$18)) * $B$16), IF( $B$7=K$1, IF($B$5="PUT", IF($B$10-K34 &lt;= 0, 0, $B$10-K34), IF( K34-$B$10 &lt;= 0, 0, K34-$B$10)), ""))</f>
        <v>0</v>
      </c>
      <c r="M35" s="151">
        <f>IF($B$7=12,IF($B$5="PUT",IF($B$10-M34&lt;=0,0,$B$10-M34),IF(M34-$B$10&lt;=0,0,M34-$B$10)),"")</f>
        <v>0</v>
      </c>
    </row>
    <row r="36" spans="4:13" ht="13.2" thickBot="1" x14ac:dyDescent="0.3">
      <c r="F36" s="152">
        <f>IF( $B$7&gt;=F$1,E34*$B$15,"")</f>
        <v>14.33062621147578</v>
      </c>
      <c r="G36" s="151"/>
      <c r="H36" s="152">
        <f>IF( $B$7&gt;=H$1,G34*$B$15,"")</f>
        <v>14.330626211475776</v>
      </c>
      <c r="J36" s="152">
        <f>IF( $B$7&gt;=J$1,I34*$B$15,"")</f>
        <v>14.330626211475776</v>
      </c>
      <c r="L36" s="152">
        <f>IF( $B$7&gt;=L$1,K34*$B$15,"")</f>
        <v>14.330626211475776</v>
      </c>
    </row>
    <row r="37" spans="4:13" ht="13.2" thickBot="1" x14ac:dyDescent="0.3">
      <c r="F37" s="151">
        <f>IF( $B$7&gt;F$1, IF( $B$5="PUT", IF((((G35*$B$17) + (G39*$B$18)) * $B$16) &lt; ($B$10 - F36), $B$10-F36, ((G35*$B$17) + (G39*$B$18)) * $B$16),((G35*$B$17) + (G39*$B$18)) * $B$16), IF( $B$7=F$1, IF($B$5="PUT", IF($B$10-F36 &lt;= 0, 0, $B$10-F36), IF( F36-$B$10 &lt;= 0, 0, F36-$B$10)), ""))</f>
        <v>6.5593834753546968E-3</v>
      </c>
      <c r="H37" s="151">
        <f>IF( $B$7&gt;H$1, IF( $B$5="PUT", IF((((I35*$B$17) + (I39*$B$18)) * $B$16) &lt; ($B$10 - H36), $B$10-H36, ((I35*$B$17) + (I39*$B$18)) * $B$16),((I35*$B$17) + (I39*$B$18)) * $B$16), IF( $B$7=H$1, IF($B$5="PUT", IF($B$10-H36 &lt;= 0, 0, $B$10-H36), IF( H36-$B$10 &lt;= 0, 0, H36-$B$10)), ""))</f>
        <v>0</v>
      </c>
      <c r="J37" s="151">
        <f>IF( $B$7&gt;J$1, IF( $B$5="PUT", IF((((K35*$B$17) + (K39*$B$18)) * $B$16) &lt; ($B$10 - J36), $B$10-J36, ((K35*$B$17) + (K39*$B$18)) * $B$16),((K35*$B$17) + (K39*$B$18)) * $B$16), IF( $B$7=J$1, IF($B$5="PUT", IF($B$10-J36 &lt;= 0, 0, $B$10-J36), IF( J36-$B$10 &lt;= 0, 0, J36-$B$10)), ""))</f>
        <v>0</v>
      </c>
      <c r="L37" s="151">
        <f>IF( $B$7&gt;L$1, IF( $B$5="PUT", IF((((M35*$B$17) + (M39*$B$18)) * $B$16) &lt; ($B$10 - L36), $B$10-L36, ((M35*$B$17) + (M39*$B$18)) * $B$16),((M35*$B$17) + (M39*$B$18)) * $B$16), IF( $B$7=L$1, IF($B$5="PUT", IF($B$10-L36 &lt;= 0, 0, $B$10-L36), IF( L36-$B$10 &lt;= 0, 0, L36-$B$10)), ""))</f>
        <v>0</v>
      </c>
    </row>
    <row r="38" spans="4:13" ht="13.2" thickBot="1" x14ac:dyDescent="0.3">
      <c r="G38" s="152">
        <f>IF( $B$7&gt;=G$1,F36*$B$15,"")</f>
        <v>13.40640092071278</v>
      </c>
      <c r="I38" s="152">
        <f>IF( $B$7&gt;=I$1,H36*$B$15,"")</f>
        <v>13.406400920712777</v>
      </c>
      <c r="J38" s="151"/>
      <c r="K38" s="152">
        <f>IF( $B$7&gt;=K$1,J36*$B$15,"")</f>
        <v>13.406400920712777</v>
      </c>
      <c r="M38" s="152">
        <f>IF( $B$7&gt;=M$1,L36*$B$15,"")</f>
        <v>13.406400920712777</v>
      </c>
    </row>
    <row r="39" spans="4:13" ht="13.2" thickBot="1" x14ac:dyDescent="0.3">
      <c r="G39" s="151">
        <f>IF( $B$7&gt;G$1, IF( $B$5="PUT", IF((((H37*$B$17) + (H41*$B$18)) * $B$16) &lt; ($B$10 - G38), $B$10-G38, ((H37*$B$17) + (H41*$B$18)) * $B$16),((H37*$B$17) + (H41*$B$18)) * $B$16), IF( $B$7=G$1, IF($B$5="PUT", IF($B$10-G38 &lt;= 0, 0, $B$10-G38), IF( G38-$B$10 &lt;= 0, 0, G38-$B$10)), ""))</f>
        <v>0</v>
      </c>
      <c r="I39" s="151">
        <f>IF( $B$7&gt;I$1, IF( $B$5="PUT", IF((((J37*$B$17) + (J41*$B$18)) * $B$16) &lt; ($B$10 - I38), $B$10-I38, ((J37*$B$17) + (J41*$B$18)) * $B$16),((J37*$B$17) + (J41*$B$18)) * $B$16), IF( $B$7=I$1, IF($B$5="PUT", IF($B$10-I38 &lt;= 0, 0, $B$10-I38), IF( I38-$B$10 &lt;= 0, 0, I38-$B$10)), ""))</f>
        <v>0</v>
      </c>
      <c r="K39" s="151">
        <f>IF( $B$7&gt;K$1, IF( $B$5="PUT", IF((((L37*$B$17) + (L41*$B$18)) * $B$16) &lt; ($B$10 - K38), $B$10-K38, ((L37*$B$17) + (L41*$B$18)) * $B$16),((L37*$B$17) + (L41*$B$18)) * $B$16), IF( $B$7=K$1, IF($B$5="PUT", IF($B$10-K38 &lt;= 0, 0, $B$10-K38), IF( K38-$B$10 &lt;= 0, 0, K38-$B$10)), ""))</f>
        <v>0</v>
      </c>
      <c r="M39" s="151">
        <f>IF($B$7=12,IF($B$5="PUT",IF($B$10-M38&lt;=0,0,$B$10-M38),IF(M38-$B$10&lt;=0,0,M38-$B$10)),"")</f>
        <v>0</v>
      </c>
    </row>
    <row r="40" spans="4:13" ht="13.2" thickBot="1" x14ac:dyDescent="0.3">
      <c r="H40" s="152">
        <f>IF( $B$7&gt;=H$1,G38*$B$15,"")</f>
        <v>12.541781705461116</v>
      </c>
      <c r="J40" s="152">
        <f>IF( $B$7&gt;=J$1,I38*$B$15,"")</f>
        <v>12.541781705461114</v>
      </c>
      <c r="L40" s="152">
        <f>IF( $B$7&gt;=L$1,K38*$B$15,"")</f>
        <v>12.541781705461114</v>
      </c>
    </row>
    <row r="41" spans="4:13" ht="13.2" thickBot="1" x14ac:dyDescent="0.3">
      <c r="H41" s="151">
        <f>IF( $B$7&gt;H$1, IF( $B$5="PUT", IF((((I39*$B$17) + (I43*$B$18)) * $B$16) &lt; ($B$10 - H40), $B$10-H40, ((I39*$B$17) + (I43*$B$18)) * $B$16),((I39*$B$17) + (I43*$B$18)) * $B$16), IF( $B$7=H$1, IF($B$5="PUT", IF($B$10-H40 &lt;= 0, 0, $B$10-H40), IF( H40-$B$10 &lt;= 0, 0, H40-$B$10)), ""))</f>
        <v>0</v>
      </c>
      <c r="J41" s="151">
        <f>IF( $B$7&gt;J$1, IF( $B$5="PUT", IF((((K39*$B$17) + (K43*$B$18)) * $B$16) &lt; ($B$10 - J40), $B$10-J40, ((K39*$B$17) + (K43*$B$18)) * $B$16),((K39*$B$17) + (K43*$B$18)) * $B$16), IF( $B$7=J$1, IF($B$5="PUT", IF($B$10-J40 &lt;= 0, 0, $B$10-J40), IF( J40-$B$10 &lt;= 0, 0, J40-$B$10)), ""))</f>
        <v>0</v>
      </c>
      <c r="L41" s="151">
        <f>IF( $B$7&gt;L$1, IF( $B$5="PUT", IF((((M39*$B$17) + (M43*$B$18)) * $B$16) &lt; ($B$10 - L40), $B$10-L40, ((M39*$B$17) + (M43*$B$18)) * $B$16),((M39*$B$17) + (M43*$B$18)) * $B$16), IF( $B$7=L$1, IF($B$5="PUT", IF($B$10-L40 &lt;= 0, 0, $B$10-L40), IF( L40-$B$10 &lt;= 0, 0, L40-$B$10)), ""))</f>
        <v>0</v>
      </c>
    </row>
    <row r="42" spans="4:13" ht="13.2" thickBot="1" x14ac:dyDescent="0.3">
      <c r="I42" s="152">
        <f>IF( $B$7&gt;=I$1,H40*$B$15,"")</f>
        <v>11.732924390200628</v>
      </c>
      <c r="K42" s="152">
        <f>IF( $B$7&gt;=K$1,J40*$B$15,"")</f>
        <v>11.732924390200626</v>
      </c>
      <c r="M42" s="152">
        <f>IF( $B$7&gt;=M$1,L40*$B$15,"")</f>
        <v>11.732924390200626</v>
      </c>
    </row>
    <row r="43" spans="4:13" ht="13.2" thickBot="1" x14ac:dyDescent="0.3">
      <c r="I43" s="151">
        <f>IF( $B$7&gt;I$1, IF( $B$5="PUT", IF((((J41*$B$17) + (J45*$B$18)) * $B$16) &lt; ($B$10 - I42), $B$10-I42, ((J41*$B$17) + (J45*$B$18)) * $B$16),((J41*$B$17) + (J45*$B$18)) * $B$16), IF( $B$7=I$1, IF($B$5="PUT", IF($B$10-I42 &lt;= 0, 0, $B$10-I42), IF( I42-$B$10 &lt;= 0, 0, I42-$B$10)), ""))</f>
        <v>0</v>
      </c>
      <c r="K43" s="151">
        <f>IF( $B$7&gt;K$1, IF( $B$5="PUT", IF((((L41*$B$17) + (L45*$B$18)) * $B$16) &lt; ($B$10 - K42), $B$10-K42, ((L41*$B$17) + (L45*$B$18)) * $B$16),((L41*$B$17) + (L45*$B$18)) * $B$16), IF( $B$7=K$1, IF($B$5="PUT", IF($B$10-K42 &lt;= 0, 0, $B$10-K42), IF( K42-$B$10 &lt;= 0, 0, K42-$B$10)), ""))</f>
        <v>0</v>
      </c>
      <c r="M43" s="151">
        <f>IF($B$7=12,IF($B$5="PUT",IF($B$10-M42&lt;=0,0,$B$10-M42),IF(M42-$B$10&lt;=0,0,M42-$B$10)),"")</f>
        <v>0</v>
      </c>
    </row>
    <row r="44" spans="4:13" ht="13.2" thickBot="1" x14ac:dyDescent="0.3">
      <c r="J44" s="152">
        <f>IF( $B$7&gt;=J$1,I42*$B$15,"")</f>
        <v>10.976232721880521</v>
      </c>
      <c r="L44" s="152">
        <f>IF( $B$7&gt;=L$1,K42*$B$15,"")</f>
        <v>10.976232721880519</v>
      </c>
    </row>
    <row r="45" spans="4:13" ht="13.2" thickBot="1" x14ac:dyDescent="0.3">
      <c r="J45" s="151">
        <f>IF( $B$7&gt;J$1, IF( $B$5="PUT", IF((((K43*$B$17) + (K47*$B$18)) * $B$16) &lt; ($B$10 - J44), $B$10-J44, ((K43*$B$17) + (K47*$B$18)) * $B$16),((K43*$B$17) + (K47*$B$18)) * $B$16), IF( $B$7=J$1, IF($B$5="PUT", IF($B$10-J44 &lt;= 0, 0, $B$10-J44), IF( J44-$B$10 &lt;= 0, 0, J44-$B$10)), ""))</f>
        <v>0</v>
      </c>
      <c r="L45" s="151">
        <f>IF( $B$7&gt;L$1, IF( $B$5="PUT", IF((((M43*$B$17) + (M47*$B$18)) * $B$16) &lt; ($B$10 - L44), $B$10-L44, ((M43*$B$17) + (M47*$B$18)) * $B$16),((M43*$B$17) + (M47*$B$18)) * $B$16), IF( $B$7=L$1, IF($B$5="PUT", IF($B$10-L44 &lt;= 0, 0, $B$10-L44), IF( L44-$B$10 &lt;= 0, 0, L44-$B$10)), ""))</f>
        <v>0</v>
      </c>
    </row>
    <row r="46" spans="4:13" ht="13.2" thickBot="1" x14ac:dyDescent="0.3">
      <c r="K46" s="152">
        <f>IF( $B$7&gt;=K$1,J44*$B$15,"")</f>
        <v>10.268342380651832</v>
      </c>
      <c r="M46" s="152">
        <f>IF( $B$7&gt;=M$1,L44*$B$15,"")</f>
        <v>10.268342380651831</v>
      </c>
    </row>
    <row r="47" spans="4:13" ht="13.2" thickBot="1" x14ac:dyDescent="0.3">
      <c r="K47" s="151">
        <f>IF( $B$7&gt;K$1, IF( $B$5="PUT", IF((((L45*$B$17) + (L49*$B$18)) * $B$16) &lt; ($B$10 - K46), $B$10-K46, ((L45*$B$17) + (L49*$B$18)) * $B$16),((L45*$B$17) + (L49*$B$18)) * $B$16), IF( $B$7=K$1, IF($B$5="PUT", IF($B$10-K46 &lt;= 0, 0, $B$10-K46), IF( K46-$B$10 &lt;= 0, 0, K46-$B$10)), ""))</f>
        <v>0</v>
      </c>
      <c r="M47" s="151">
        <f>IF($B$7=12,IF($B$5="PUT",IF($B$10-M46&lt;=0,0,$B$10-M46),IF(M46-$B$10&lt;=0,0,M46-$B$10)),"")</f>
        <v>0</v>
      </c>
    </row>
    <row r="48" spans="4:13" ht="13.2" thickBot="1" x14ac:dyDescent="0.3">
      <c r="L48" s="152">
        <f>IF( $B$7&gt;=L$1,K46*$B$15,"")</f>
        <v>9.6061060217959788</v>
      </c>
    </row>
    <row r="49" spans="12:13" ht="13.2" thickBot="1" x14ac:dyDescent="0.3">
      <c r="L49" s="151">
        <f>IF( $B$7&gt;L$1, IF( $B$5="PUT", IF((((M47*$B$17) + (M51*$B$18)) * $B$16) &lt; ($B$10 - L48), $B$10-L48, ((M47*$B$17) + (M51*$B$18)) * $B$16),((M47*$B$17) + (M51*$B$18)) * $B$16), IF( $B$7=L$1, IF($B$5="PUT", IF($B$10-L48 &lt;= 0, 0, $B$10-L48), IF( L48-$B$10 &lt;= 0, 0, L48-$B$10)), ""))</f>
        <v>0</v>
      </c>
    </row>
    <row r="50" spans="12:13" ht="13.2" thickBot="1" x14ac:dyDescent="0.3">
      <c r="M50" s="152">
        <f>IF( $B$7&gt;=M$1,L48*$B$15,"")</f>
        <v>8.9865792823444224</v>
      </c>
    </row>
    <row r="51" spans="12:13" x14ac:dyDescent="0.25">
      <c r="M51" s="151">
        <f>IF($B$7=12,IF($B$5="PUT",IF($B$10-M50&lt;=0,0,$B$10-M50),IF(M50-$B$10&lt;=0,0,M50-$B$10)),"")</f>
        <v>0</v>
      </c>
    </row>
  </sheetData>
  <mergeCells count="3">
    <mergeCell ref="A5:A6"/>
    <mergeCell ref="B5:B6"/>
    <mergeCell ref="A3:B4"/>
  </mergeCells>
  <printOptions horizontalCentered="1" verticalCentered="1"/>
  <pageMargins left="0.35433070866141736" right="0.35433070866141736" top="0.78740157480314965" bottom="0.78740157480314965" header="0.51181102362204722" footer="0.51181102362204722"/>
  <pageSetup scale="80" orientation="portrait" horizontalDpi="300" verticalDpi="4294967292" r:id="rId1"/>
  <headerFooter alignWithMargins="0">
    <oddHeader>&amp;CMODELO BINOMIAL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/>
  <dimension ref="A1:F16"/>
  <sheetViews>
    <sheetView showGridLines="0" workbookViewId="0">
      <selection activeCell="B13" sqref="B13"/>
    </sheetView>
  </sheetViews>
  <sheetFormatPr defaultRowHeight="13.2" x14ac:dyDescent="0.25"/>
  <cols>
    <col min="1" max="1" width="18.33203125" customWidth="1"/>
    <col min="3" max="3" width="6.33203125" customWidth="1"/>
    <col min="4" max="4" width="14.44140625" customWidth="1"/>
    <col min="5" max="5" width="9.33203125" bestFit="1" customWidth="1"/>
    <col min="6" max="6" width="9.33203125" customWidth="1"/>
  </cols>
  <sheetData>
    <row r="1" spans="1:6" ht="15.6" x14ac:dyDescent="0.3">
      <c r="A1" s="296" t="s">
        <v>29</v>
      </c>
      <c r="B1" s="297"/>
      <c r="C1" s="297"/>
      <c r="D1" s="297"/>
      <c r="E1" s="297"/>
      <c r="F1" s="298"/>
    </row>
    <row r="2" spans="1:6" ht="13.8" thickBot="1" x14ac:dyDescent="0.3">
      <c r="A2" s="28"/>
      <c r="F2" s="5"/>
    </row>
    <row r="3" spans="1:6" ht="13.8" thickBot="1" x14ac:dyDescent="0.3">
      <c r="A3" s="292" t="s">
        <v>0</v>
      </c>
      <c r="B3" s="293"/>
      <c r="F3" s="5"/>
    </row>
    <row r="4" spans="1:6" x14ac:dyDescent="0.25">
      <c r="A4" s="32" t="s">
        <v>30</v>
      </c>
      <c r="B4" s="83">
        <v>100</v>
      </c>
      <c r="D4" s="292" t="s">
        <v>31</v>
      </c>
      <c r="E4" s="295"/>
      <c r="F4" s="294"/>
    </row>
    <row r="5" spans="1:6" x14ac:dyDescent="0.25">
      <c r="A5" s="32" t="s">
        <v>32</v>
      </c>
      <c r="B5" s="83">
        <v>105</v>
      </c>
      <c r="D5" s="34"/>
      <c r="E5" s="35" t="s">
        <v>2</v>
      </c>
      <c r="F5" s="36" t="s">
        <v>33</v>
      </c>
    </row>
    <row r="6" spans="1:6" x14ac:dyDescent="0.25">
      <c r="A6" s="32" t="s">
        <v>34</v>
      </c>
      <c r="B6" s="37">
        <v>0.05</v>
      </c>
      <c r="D6" s="32" t="s">
        <v>35</v>
      </c>
      <c r="E6" s="216">
        <f>GBlackScholes("Premio",S,X,vol,rf,T,0,"call",0,0,0)</f>
        <v>8.0213522351431834</v>
      </c>
      <c r="F6" s="217">
        <f>GBlackScholes("Premio",S,X,vol,rf,T,0,"put",0,0,0)</f>
        <v>7.9004418077181526</v>
      </c>
    </row>
    <row r="7" spans="1:6" x14ac:dyDescent="0.25">
      <c r="A7" s="32" t="s">
        <v>36</v>
      </c>
      <c r="B7" s="215">
        <v>0.2</v>
      </c>
      <c r="D7" s="32" t="s">
        <v>37</v>
      </c>
      <c r="E7" s="216">
        <v>7.9532885185826796</v>
      </c>
      <c r="F7" s="217">
        <v>7.5271316380872371</v>
      </c>
    </row>
    <row r="8" spans="1:6" ht="13.8" thickBot="1" x14ac:dyDescent="0.3">
      <c r="A8" s="38" t="s">
        <v>38</v>
      </c>
      <c r="B8" s="214">
        <v>1</v>
      </c>
      <c r="D8" s="32" t="s">
        <v>39</v>
      </c>
      <c r="E8" s="216">
        <v>7.16805290877884</v>
      </c>
      <c r="F8" s="217">
        <v>6.9029844568417058</v>
      </c>
    </row>
    <row r="9" spans="1:6" ht="13.8" thickBot="1" x14ac:dyDescent="0.3">
      <c r="A9" s="28"/>
      <c r="D9" s="32" t="s">
        <v>40</v>
      </c>
      <c r="E9" s="216">
        <v>8.7385241283865192</v>
      </c>
      <c r="F9" s="217">
        <v>8.1512788193327683</v>
      </c>
    </row>
    <row r="10" spans="1:6" ht="13.8" thickBot="1" x14ac:dyDescent="0.3">
      <c r="A10" s="292" t="s">
        <v>41</v>
      </c>
      <c r="B10" s="294"/>
      <c r="D10" s="38" t="s">
        <v>42</v>
      </c>
      <c r="E10" s="39">
        <f>(E6-E7)/E6</f>
        <v>8.4853170095564139E-3</v>
      </c>
      <c r="F10" s="40">
        <f>(F6-F7)/F6</f>
        <v>4.7251809293275077E-2</v>
      </c>
    </row>
    <row r="11" spans="1:6" x14ac:dyDescent="0.25">
      <c r="A11" s="32" t="s">
        <v>43</v>
      </c>
      <c r="B11" s="33">
        <v>1000</v>
      </c>
      <c r="F11" s="5"/>
    </row>
    <row r="12" spans="1:6" ht="13.8" thickBot="1" x14ac:dyDescent="0.3">
      <c r="A12" s="38" t="s">
        <v>44</v>
      </c>
      <c r="B12" s="41">
        <v>100</v>
      </c>
      <c r="F12" s="5"/>
    </row>
    <row r="13" spans="1:6" ht="13.8" thickBot="1" x14ac:dyDescent="0.3">
      <c r="A13" s="28"/>
      <c r="F13" s="5"/>
    </row>
    <row r="14" spans="1:6" ht="13.8" thickBot="1" x14ac:dyDescent="0.3">
      <c r="A14" s="28"/>
      <c r="D14" s="42" t="s">
        <v>45</v>
      </c>
      <c r="E14" s="43"/>
      <c r="F14" s="5"/>
    </row>
    <row r="15" spans="1:6" x14ac:dyDescent="0.25">
      <c r="A15" s="28"/>
      <c r="F15" s="5"/>
    </row>
    <row r="16" spans="1:6" ht="13.8" thickBot="1" x14ac:dyDescent="0.3">
      <c r="A16" s="79"/>
      <c r="B16" s="80"/>
      <c r="C16" s="81"/>
      <c r="D16" s="81"/>
      <c r="E16" s="81"/>
      <c r="F16" s="82"/>
    </row>
  </sheetData>
  <mergeCells count="4">
    <mergeCell ref="A3:B3"/>
    <mergeCell ref="A10:B10"/>
    <mergeCell ref="D4:F4"/>
    <mergeCell ref="A1:F1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onteCarlo.MonteCarlo">
                <anchor moveWithCells="1" sizeWithCells="1">
                  <from>
                    <xdr:col>0</xdr:col>
                    <xdr:colOff>358140</xdr:colOff>
                    <xdr:row>13</xdr:row>
                    <xdr:rowOff>22860</xdr:rowOff>
                  </from>
                  <to>
                    <xdr:col>2</xdr:col>
                    <xdr:colOff>15240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C938"/>
  <sheetViews>
    <sheetView showGridLines="0" workbookViewId="0"/>
  </sheetViews>
  <sheetFormatPr defaultColWidth="17.44140625" defaultRowHeight="15" customHeight="1" x14ac:dyDescent="0.3"/>
  <cols>
    <col min="1" max="1" width="10.6640625" style="182" customWidth="1"/>
    <col min="2" max="2" width="16.44140625" style="182" customWidth="1"/>
    <col min="3" max="3" width="45.6640625" style="182" customWidth="1"/>
    <col min="4" max="13" width="8.6640625" style="182" customWidth="1"/>
    <col min="14" max="16384" width="17.44140625" style="182"/>
  </cols>
  <sheetData>
    <row r="1" spans="1:3" ht="15.75" customHeight="1" thickBot="1" x14ac:dyDescent="0.35">
      <c r="A1" s="179" t="s">
        <v>63</v>
      </c>
      <c r="B1" s="180" t="s">
        <v>150</v>
      </c>
      <c r="C1" s="181" t="s">
        <v>151</v>
      </c>
    </row>
    <row r="2" spans="1:3" ht="15.75" customHeight="1" thickBot="1" x14ac:dyDescent="0.35">
      <c r="A2" s="183">
        <v>36892</v>
      </c>
      <c r="B2" s="184" t="s">
        <v>152</v>
      </c>
      <c r="C2" s="185" t="s">
        <v>153</v>
      </c>
    </row>
    <row r="3" spans="1:3" ht="15.75" customHeight="1" thickBot="1" x14ac:dyDescent="0.35">
      <c r="A3" s="183">
        <v>36948</v>
      </c>
      <c r="B3" s="184" t="s">
        <v>152</v>
      </c>
      <c r="C3" s="186" t="s">
        <v>154</v>
      </c>
    </row>
    <row r="4" spans="1:3" ht="15.75" customHeight="1" thickBot="1" x14ac:dyDescent="0.35">
      <c r="A4" s="183">
        <v>36949</v>
      </c>
      <c r="B4" s="184" t="s">
        <v>155</v>
      </c>
      <c r="C4" s="186" t="s">
        <v>154</v>
      </c>
    </row>
    <row r="5" spans="1:3" ht="15.75" customHeight="1" thickBot="1" x14ac:dyDescent="0.35">
      <c r="A5" s="183">
        <v>36994</v>
      </c>
      <c r="B5" s="184" t="s">
        <v>156</v>
      </c>
      <c r="C5" s="186" t="s">
        <v>157</v>
      </c>
    </row>
    <row r="6" spans="1:3" ht="15.75" customHeight="1" thickBot="1" x14ac:dyDescent="0.35">
      <c r="A6" s="183">
        <v>37002</v>
      </c>
      <c r="B6" s="184" t="s">
        <v>158</v>
      </c>
      <c r="C6" s="186" t="s">
        <v>159</v>
      </c>
    </row>
    <row r="7" spans="1:3" ht="15.75" customHeight="1" thickBot="1" x14ac:dyDescent="0.35">
      <c r="A7" s="183">
        <v>37012</v>
      </c>
      <c r="B7" s="184" t="s">
        <v>155</v>
      </c>
      <c r="C7" s="186" t="s">
        <v>160</v>
      </c>
    </row>
    <row r="8" spans="1:3" ht="15.75" customHeight="1" thickBot="1" x14ac:dyDescent="0.35">
      <c r="A8" s="183">
        <v>37056</v>
      </c>
      <c r="B8" s="184" t="s">
        <v>161</v>
      </c>
      <c r="C8" s="186" t="s">
        <v>162</v>
      </c>
    </row>
    <row r="9" spans="1:3" ht="15.75" customHeight="1" thickBot="1" x14ac:dyDescent="0.35">
      <c r="A9" s="183">
        <v>37141</v>
      </c>
      <c r="B9" s="184" t="s">
        <v>156</v>
      </c>
      <c r="C9" s="186" t="s">
        <v>163</v>
      </c>
    </row>
    <row r="10" spans="1:3" ht="15.75" customHeight="1" thickBot="1" x14ac:dyDescent="0.35">
      <c r="A10" s="183">
        <v>37176</v>
      </c>
      <c r="B10" s="184" t="s">
        <v>156</v>
      </c>
      <c r="C10" s="186" t="s">
        <v>164</v>
      </c>
    </row>
    <row r="11" spans="1:3" ht="15.75" customHeight="1" thickBot="1" x14ac:dyDescent="0.35">
      <c r="A11" s="183">
        <v>37197</v>
      </c>
      <c r="B11" s="184" t="s">
        <v>156</v>
      </c>
      <c r="C11" s="186" t="s">
        <v>165</v>
      </c>
    </row>
    <row r="12" spans="1:3" ht="15.75" customHeight="1" thickBot="1" x14ac:dyDescent="0.35">
      <c r="A12" s="183">
        <v>37210</v>
      </c>
      <c r="B12" s="184" t="s">
        <v>161</v>
      </c>
      <c r="C12" s="186" t="s">
        <v>166</v>
      </c>
    </row>
    <row r="13" spans="1:3" ht="15.75" customHeight="1" thickBot="1" x14ac:dyDescent="0.35">
      <c r="A13" s="183">
        <v>37250</v>
      </c>
      <c r="B13" s="184" t="s">
        <v>155</v>
      </c>
      <c r="C13" s="186" t="s">
        <v>167</v>
      </c>
    </row>
    <row r="14" spans="1:3" ht="15.75" customHeight="1" thickBot="1" x14ac:dyDescent="0.35">
      <c r="A14" s="187">
        <v>37257</v>
      </c>
      <c r="B14" s="188" t="s">
        <v>155</v>
      </c>
      <c r="C14" s="189" t="s">
        <v>153</v>
      </c>
    </row>
    <row r="15" spans="1:3" ht="15.75" customHeight="1" thickBot="1" x14ac:dyDescent="0.35">
      <c r="A15" s="190">
        <v>37298</v>
      </c>
      <c r="B15" s="191" t="s">
        <v>152</v>
      </c>
      <c r="C15" s="192" t="s">
        <v>154</v>
      </c>
    </row>
    <row r="16" spans="1:3" ht="15.75" customHeight="1" thickBot="1" x14ac:dyDescent="0.35">
      <c r="A16" s="190">
        <v>37299</v>
      </c>
      <c r="B16" s="191" t="s">
        <v>155</v>
      </c>
      <c r="C16" s="189" t="s">
        <v>154</v>
      </c>
    </row>
    <row r="17" spans="1:3" ht="15.75" customHeight="1" thickBot="1" x14ac:dyDescent="0.35">
      <c r="A17" s="190">
        <v>37344</v>
      </c>
      <c r="B17" s="191" t="s">
        <v>156</v>
      </c>
      <c r="C17" s="189" t="s">
        <v>157</v>
      </c>
    </row>
    <row r="18" spans="1:3" ht="15.75" customHeight="1" thickBot="1" x14ac:dyDescent="0.35">
      <c r="A18" s="190">
        <v>37367</v>
      </c>
      <c r="B18" s="191" t="s">
        <v>168</v>
      </c>
      <c r="C18" s="189" t="s">
        <v>159</v>
      </c>
    </row>
    <row r="19" spans="1:3" ht="15.75" customHeight="1" thickBot="1" x14ac:dyDescent="0.35">
      <c r="A19" s="190">
        <v>37377</v>
      </c>
      <c r="B19" s="191" t="s">
        <v>169</v>
      </c>
      <c r="C19" s="189" t="s">
        <v>160</v>
      </c>
    </row>
    <row r="20" spans="1:3" ht="15.75" customHeight="1" thickBot="1" x14ac:dyDescent="0.35">
      <c r="A20" s="190">
        <v>37406</v>
      </c>
      <c r="B20" s="191" t="s">
        <v>161</v>
      </c>
      <c r="C20" s="189" t="s">
        <v>162</v>
      </c>
    </row>
    <row r="21" spans="1:3" ht="15.75" customHeight="1" thickBot="1" x14ac:dyDescent="0.35">
      <c r="A21" s="190">
        <v>37506</v>
      </c>
      <c r="B21" s="191" t="s">
        <v>158</v>
      </c>
      <c r="C21" s="189" t="s">
        <v>163</v>
      </c>
    </row>
    <row r="22" spans="1:3" ht="15.75" customHeight="1" thickBot="1" x14ac:dyDescent="0.35">
      <c r="A22" s="190">
        <v>37541</v>
      </c>
      <c r="B22" s="191" t="s">
        <v>158</v>
      </c>
      <c r="C22" s="189" t="s">
        <v>170</v>
      </c>
    </row>
    <row r="23" spans="1:3" ht="15.75" customHeight="1" thickBot="1" x14ac:dyDescent="0.35">
      <c r="A23" s="190">
        <v>37562</v>
      </c>
      <c r="B23" s="191" t="s">
        <v>158</v>
      </c>
      <c r="C23" s="189" t="s">
        <v>165</v>
      </c>
    </row>
    <row r="24" spans="1:3" ht="15.75" customHeight="1" thickBot="1" x14ac:dyDescent="0.35">
      <c r="A24" s="190">
        <v>37575</v>
      </c>
      <c r="B24" s="191" t="s">
        <v>156</v>
      </c>
      <c r="C24" s="189" t="s">
        <v>166</v>
      </c>
    </row>
    <row r="25" spans="1:3" ht="15.75" customHeight="1" thickBot="1" x14ac:dyDescent="0.35">
      <c r="A25" s="190">
        <v>37615</v>
      </c>
      <c r="B25" s="191" t="s">
        <v>169</v>
      </c>
      <c r="C25" s="189" t="s">
        <v>167</v>
      </c>
    </row>
    <row r="26" spans="1:3" ht="15.75" customHeight="1" thickBot="1" x14ac:dyDescent="0.35">
      <c r="A26" s="193">
        <v>37622</v>
      </c>
      <c r="B26" s="194" t="s">
        <v>169</v>
      </c>
      <c r="C26" s="186" t="s">
        <v>153</v>
      </c>
    </row>
    <row r="27" spans="1:3" ht="15.75" customHeight="1" thickBot="1" x14ac:dyDescent="0.35">
      <c r="A27" s="183">
        <v>37683</v>
      </c>
      <c r="B27" s="184" t="s">
        <v>152</v>
      </c>
      <c r="C27" s="185" t="s">
        <v>154</v>
      </c>
    </row>
    <row r="28" spans="1:3" ht="15.75" customHeight="1" thickBot="1" x14ac:dyDescent="0.35">
      <c r="A28" s="183">
        <v>37684</v>
      </c>
      <c r="B28" s="184" t="s">
        <v>155</v>
      </c>
      <c r="C28" s="186" t="s">
        <v>154</v>
      </c>
    </row>
    <row r="29" spans="1:3" ht="15.75" customHeight="1" thickBot="1" x14ac:dyDescent="0.35">
      <c r="A29" s="183">
        <v>37729</v>
      </c>
      <c r="B29" s="184" t="s">
        <v>156</v>
      </c>
      <c r="C29" s="186" t="s">
        <v>157</v>
      </c>
    </row>
    <row r="30" spans="1:3" ht="15.75" customHeight="1" thickBot="1" x14ac:dyDescent="0.35">
      <c r="A30" s="183">
        <v>37732</v>
      </c>
      <c r="B30" s="184" t="s">
        <v>152</v>
      </c>
      <c r="C30" s="186" t="s">
        <v>159</v>
      </c>
    </row>
    <row r="31" spans="1:3" ht="15.75" customHeight="1" thickBot="1" x14ac:dyDescent="0.35">
      <c r="A31" s="183">
        <v>37742</v>
      </c>
      <c r="B31" s="184" t="s">
        <v>161</v>
      </c>
      <c r="C31" s="186" t="s">
        <v>160</v>
      </c>
    </row>
    <row r="32" spans="1:3" ht="15.75" customHeight="1" thickBot="1" x14ac:dyDescent="0.35">
      <c r="A32" s="183">
        <v>37791</v>
      </c>
      <c r="B32" s="184" t="s">
        <v>161</v>
      </c>
      <c r="C32" s="186" t="s">
        <v>162</v>
      </c>
    </row>
    <row r="33" spans="1:3" ht="15.75" customHeight="1" thickBot="1" x14ac:dyDescent="0.35">
      <c r="A33" s="183">
        <v>37871</v>
      </c>
      <c r="B33" s="184" t="s">
        <v>168</v>
      </c>
      <c r="C33" s="186" t="s">
        <v>163</v>
      </c>
    </row>
    <row r="34" spans="1:3" ht="15.75" customHeight="1" thickBot="1" x14ac:dyDescent="0.35">
      <c r="A34" s="183">
        <v>37906</v>
      </c>
      <c r="B34" s="184" t="s">
        <v>168</v>
      </c>
      <c r="C34" s="186" t="s">
        <v>171</v>
      </c>
    </row>
    <row r="35" spans="1:3" ht="15.75" customHeight="1" thickBot="1" x14ac:dyDescent="0.35">
      <c r="A35" s="183">
        <v>37927</v>
      </c>
      <c r="B35" s="184" t="s">
        <v>168</v>
      </c>
      <c r="C35" s="186" t="s">
        <v>165</v>
      </c>
    </row>
    <row r="36" spans="1:3" ht="15.75" customHeight="1" thickBot="1" x14ac:dyDescent="0.35">
      <c r="A36" s="183">
        <v>37940</v>
      </c>
      <c r="B36" s="184" t="s">
        <v>158</v>
      </c>
      <c r="C36" s="186" t="s">
        <v>166</v>
      </c>
    </row>
    <row r="37" spans="1:3" ht="15.75" customHeight="1" thickBot="1" x14ac:dyDescent="0.35">
      <c r="A37" s="183">
        <v>37980</v>
      </c>
      <c r="B37" s="184" t="s">
        <v>161</v>
      </c>
      <c r="C37" s="186" t="s">
        <v>167</v>
      </c>
    </row>
    <row r="38" spans="1:3" ht="15.75" customHeight="1" thickBot="1" x14ac:dyDescent="0.35">
      <c r="A38" s="187">
        <v>37987</v>
      </c>
      <c r="B38" s="188" t="s">
        <v>161</v>
      </c>
      <c r="C38" s="189" t="s">
        <v>153</v>
      </c>
    </row>
    <row r="39" spans="1:3" ht="15.75" customHeight="1" thickBot="1" x14ac:dyDescent="0.35">
      <c r="A39" s="190">
        <v>38040</v>
      </c>
      <c r="B39" s="191" t="s">
        <v>152</v>
      </c>
      <c r="C39" s="192" t="s">
        <v>154</v>
      </c>
    </row>
    <row r="40" spans="1:3" ht="15.75" customHeight="1" thickBot="1" x14ac:dyDescent="0.35">
      <c r="A40" s="190">
        <v>38041</v>
      </c>
      <c r="B40" s="191" t="s">
        <v>155</v>
      </c>
      <c r="C40" s="189" t="s">
        <v>154</v>
      </c>
    </row>
    <row r="41" spans="1:3" ht="15.75" customHeight="1" thickBot="1" x14ac:dyDescent="0.35">
      <c r="A41" s="190">
        <v>38086</v>
      </c>
      <c r="B41" s="191" t="s">
        <v>156</v>
      </c>
      <c r="C41" s="189" t="s">
        <v>157</v>
      </c>
    </row>
    <row r="42" spans="1:3" ht="15.75" customHeight="1" thickBot="1" x14ac:dyDescent="0.35">
      <c r="A42" s="190">
        <v>38098</v>
      </c>
      <c r="B42" s="191" t="s">
        <v>169</v>
      </c>
      <c r="C42" s="189" t="s">
        <v>159</v>
      </c>
    </row>
    <row r="43" spans="1:3" ht="15.75" customHeight="1" thickBot="1" x14ac:dyDescent="0.35">
      <c r="A43" s="190">
        <v>38108</v>
      </c>
      <c r="B43" s="191" t="s">
        <v>158</v>
      </c>
      <c r="C43" s="189" t="s">
        <v>160</v>
      </c>
    </row>
    <row r="44" spans="1:3" ht="15.75" customHeight="1" thickBot="1" x14ac:dyDescent="0.35">
      <c r="A44" s="190">
        <v>38148</v>
      </c>
      <c r="B44" s="191" t="s">
        <v>161</v>
      </c>
      <c r="C44" s="189" t="s">
        <v>162</v>
      </c>
    </row>
    <row r="45" spans="1:3" ht="15.75" customHeight="1" thickBot="1" x14ac:dyDescent="0.35">
      <c r="A45" s="190">
        <v>38237</v>
      </c>
      <c r="B45" s="191" t="s">
        <v>155</v>
      </c>
      <c r="C45" s="189" t="s">
        <v>163</v>
      </c>
    </row>
    <row r="46" spans="1:3" ht="15.75" customHeight="1" thickBot="1" x14ac:dyDescent="0.35">
      <c r="A46" s="190">
        <v>38272</v>
      </c>
      <c r="B46" s="191" t="s">
        <v>155</v>
      </c>
      <c r="C46" s="189" t="s">
        <v>171</v>
      </c>
    </row>
    <row r="47" spans="1:3" ht="15.75" customHeight="1" thickBot="1" x14ac:dyDescent="0.35">
      <c r="A47" s="190">
        <v>38293</v>
      </c>
      <c r="B47" s="191" t="s">
        <v>155</v>
      </c>
      <c r="C47" s="189" t="s">
        <v>165</v>
      </c>
    </row>
    <row r="48" spans="1:3" ht="15.75" customHeight="1" thickBot="1" x14ac:dyDescent="0.35">
      <c r="A48" s="190">
        <v>38306</v>
      </c>
      <c r="B48" s="191" t="s">
        <v>152</v>
      </c>
      <c r="C48" s="189" t="s">
        <v>166</v>
      </c>
    </row>
    <row r="49" spans="1:3" ht="15.75" customHeight="1" thickBot="1" x14ac:dyDescent="0.35">
      <c r="A49" s="190">
        <v>38346</v>
      </c>
      <c r="B49" s="191" t="s">
        <v>158</v>
      </c>
      <c r="C49" s="189" t="s">
        <v>167</v>
      </c>
    </row>
    <row r="50" spans="1:3" ht="15.75" customHeight="1" thickBot="1" x14ac:dyDescent="0.35">
      <c r="A50" s="193">
        <v>38353</v>
      </c>
      <c r="B50" s="194" t="s">
        <v>158</v>
      </c>
      <c r="C50" s="186" t="s">
        <v>153</v>
      </c>
    </row>
    <row r="51" spans="1:3" ht="15.75" customHeight="1" thickBot="1" x14ac:dyDescent="0.35">
      <c r="A51" s="183">
        <v>38390</v>
      </c>
      <c r="B51" s="184" t="s">
        <v>152</v>
      </c>
      <c r="C51" s="185" t="s">
        <v>154</v>
      </c>
    </row>
    <row r="52" spans="1:3" ht="15.75" customHeight="1" thickBot="1" x14ac:dyDescent="0.35">
      <c r="A52" s="183">
        <v>38391</v>
      </c>
      <c r="B52" s="184" t="s">
        <v>155</v>
      </c>
      <c r="C52" s="186" t="s">
        <v>154</v>
      </c>
    </row>
    <row r="53" spans="1:3" ht="15.75" customHeight="1" thickBot="1" x14ac:dyDescent="0.35">
      <c r="A53" s="183">
        <v>38436</v>
      </c>
      <c r="B53" s="184" t="s">
        <v>156</v>
      </c>
      <c r="C53" s="186" t="s">
        <v>157</v>
      </c>
    </row>
    <row r="54" spans="1:3" ht="15.75" customHeight="1" thickBot="1" x14ac:dyDescent="0.35">
      <c r="A54" s="183">
        <v>38463</v>
      </c>
      <c r="B54" s="184" t="s">
        <v>161</v>
      </c>
      <c r="C54" s="186" t="s">
        <v>159</v>
      </c>
    </row>
    <row r="55" spans="1:3" ht="15.75" customHeight="1" thickBot="1" x14ac:dyDescent="0.35">
      <c r="A55" s="183">
        <v>38473</v>
      </c>
      <c r="B55" s="184" t="s">
        <v>168</v>
      </c>
      <c r="C55" s="186" t="s">
        <v>160</v>
      </c>
    </row>
    <row r="56" spans="1:3" ht="15.75" customHeight="1" thickBot="1" x14ac:dyDescent="0.35">
      <c r="A56" s="183">
        <v>38498</v>
      </c>
      <c r="B56" s="184" t="s">
        <v>161</v>
      </c>
      <c r="C56" s="186" t="s">
        <v>162</v>
      </c>
    </row>
    <row r="57" spans="1:3" ht="15.75" customHeight="1" thickBot="1" x14ac:dyDescent="0.35">
      <c r="A57" s="183">
        <v>38602</v>
      </c>
      <c r="B57" s="184" t="s">
        <v>169</v>
      </c>
      <c r="C57" s="186" t="s">
        <v>163</v>
      </c>
    </row>
    <row r="58" spans="1:3" ht="15.75" customHeight="1" thickBot="1" x14ac:dyDescent="0.35">
      <c r="A58" s="183">
        <v>38637</v>
      </c>
      <c r="B58" s="184" t="s">
        <v>169</v>
      </c>
      <c r="C58" s="186" t="s">
        <v>172</v>
      </c>
    </row>
    <row r="59" spans="1:3" ht="15.75" customHeight="1" thickBot="1" x14ac:dyDescent="0.35">
      <c r="A59" s="183">
        <v>38658</v>
      </c>
      <c r="B59" s="184" t="s">
        <v>169</v>
      </c>
      <c r="C59" s="186" t="s">
        <v>165</v>
      </c>
    </row>
    <row r="60" spans="1:3" ht="15.75" customHeight="1" thickBot="1" x14ac:dyDescent="0.35">
      <c r="A60" s="183">
        <v>38671</v>
      </c>
      <c r="B60" s="184" t="s">
        <v>155</v>
      </c>
      <c r="C60" s="186" t="s">
        <v>166</v>
      </c>
    </row>
    <row r="61" spans="1:3" ht="15.75" customHeight="1" thickBot="1" x14ac:dyDescent="0.35">
      <c r="A61" s="183">
        <v>38711</v>
      </c>
      <c r="B61" s="184" t="s">
        <v>168</v>
      </c>
      <c r="C61" s="186" t="s">
        <v>167</v>
      </c>
    </row>
    <row r="62" spans="1:3" ht="15.75" customHeight="1" thickBot="1" x14ac:dyDescent="0.35">
      <c r="A62" s="187">
        <v>38718</v>
      </c>
      <c r="B62" s="188" t="s">
        <v>168</v>
      </c>
      <c r="C62" s="189" t="s">
        <v>153</v>
      </c>
    </row>
    <row r="63" spans="1:3" ht="15.75" customHeight="1" thickBot="1" x14ac:dyDescent="0.35">
      <c r="A63" s="190">
        <v>38775</v>
      </c>
      <c r="B63" s="191" t="s">
        <v>152</v>
      </c>
      <c r="C63" s="192" t="s">
        <v>154</v>
      </c>
    </row>
    <row r="64" spans="1:3" ht="15.75" customHeight="1" thickBot="1" x14ac:dyDescent="0.35">
      <c r="A64" s="190">
        <v>38776</v>
      </c>
      <c r="B64" s="191" t="s">
        <v>155</v>
      </c>
      <c r="C64" s="189" t="s">
        <v>154</v>
      </c>
    </row>
    <row r="65" spans="1:3" ht="15.75" customHeight="1" thickBot="1" x14ac:dyDescent="0.35">
      <c r="A65" s="190">
        <v>38821</v>
      </c>
      <c r="B65" s="191" t="s">
        <v>156</v>
      </c>
      <c r="C65" s="189" t="s">
        <v>157</v>
      </c>
    </row>
    <row r="66" spans="1:3" ht="15.75" customHeight="1" thickBot="1" x14ac:dyDescent="0.35">
      <c r="A66" s="190">
        <v>38828</v>
      </c>
      <c r="B66" s="191" t="s">
        <v>156</v>
      </c>
      <c r="C66" s="189" t="s">
        <v>159</v>
      </c>
    </row>
    <row r="67" spans="1:3" ht="15.75" customHeight="1" thickBot="1" x14ac:dyDescent="0.35">
      <c r="A67" s="190">
        <v>38838</v>
      </c>
      <c r="B67" s="191" t="s">
        <v>152</v>
      </c>
      <c r="C67" s="189" t="s">
        <v>160</v>
      </c>
    </row>
    <row r="68" spans="1:3" ht="15.75" customHeight="1" thickBot="1" x14ac:dyDescent="0.35">
      <c r="A68" s="190">
        <v>38883</v>
      </c>
      <c r="B68" s="191" t="s">
        <v>161</v>
      </c>
      <c r="C68" s="189" t="s">
        <v>162</v>
      </c>
    </row>
    <row r="69" spans="1:3" ht="15.75" customHeight="1" thickBot="1" x14ac:dyDescent="0.35">
      <c r="A69" s="190">
        <v>38967</v>
      </c>
      <c r="B69" s="191" t="s">
        <v>161</v>
      </c>
      <c r="C69" s="189" t="s">
        <v>163</v>
      </c>
    </row>
    <row r="70" spans="1:3" ht="15.75" customHeight="1" thickBot="1" x14ac:dyDescent="0.35">
      <c r="A70" s="190">
        <v>39002</v>
      </c>
      <c r="B70" s="191" t="s">
        <v>161</v>
      </c>
      <c r="C70" s="189" t="s">
        <v>173</v>
      </c>
    </row>
    <row r="71" spans="1:3" ht="15.75" customHeight="1" thickBot="1" x14ac:dyDescent="0.35">
      <c r="A71" s="190">
        <v>39023</v>
      </c>
      <c r="B71" s="191" t="s">
        <v>161</v>
      </c>
      <c r="C71" s="189" t="s">
        <v>165</v>
      </c>
    </row>
    <row r="72" spans="1:3" ht="15.75" customHeight="1" thickBot="1" x14ac:dyDescent="0.35">
      <c r="A72" s="190">
        <v>39036</v>
      </c>
      <c r="B72" s="191" t="s">
        <v>169</v>
      </c>
      <c r="C72" s="189" t="s">
        <v>166</v>
      </c>
    </row>
    <row r="73" spans="1:3" ht="15.75" customHeight="1" thickBot="1" x14ac:dyDescent="0.35">
      <c r="A73" s="190">
        <v>39076</v>
      </c>
      <c r="B73" s="191" t="s">
        <v>152</v>
      </c>
      <c r="C73" s="189" t="s">
        <v>167</v>
      </c>
    </row>
    <row r="74" spans="1:3" ht="15.75" customHeight="1" thickBot="1" x14ac:dyDescent="0.35">
      <c r="A74" s="193">
        <v>39083</v>
      </c>
      <c r="B74" s="194" t="s">
        <v>152</v>
      </c>
      <c r="C74" s="186" t="s">
        <v>153</v>
      </c>
    </row>
    <row r="75" spans="1:3" ht="15.75" customHeight="1" thickBot="1" x14ac:dyDescent="0.35">
      <c r="A75" s="183">
        <v>39132</v>
      </c>
      <c r="B75" s="184" t="s">
        <v>152</v>
      </c>
      <c r="C75" s="185" t="s">
        <v>154</v>
      </c>
    </row>
    <row r="76" spans="1:3" ht="15.75" customHeight="1" thickBot="1" x14ac:dyDescent="0.35">
      <c r="A76" s="183">
        <v>39133</v>
      </c>
      <c r="B76" s="184" t="s">
        <v>155</v>
      </c>
      <c r="C76" s="186" t="s">
        <v>154</v>
      </c>
    </row>
    <row r="77" spans="1:3" ht="15.75" customHeight="1" thickBot="1" x14ac:dyDescent="0.35">
      <c r="A77" s="183">
        <v>39178</v>
      </c>
      <c r="B77" s="184" t="s">
        <v>156</v>
      </c>
      <c r="C77" s="186" t="s">
        <v>157</v>
      </c>
    </row>
    <row r="78" spans="1:3" ht="15.75" customHeight="1" thickBot="1" x14ac:dyDescent="0.35">
      <c r="A78" s="183">
        <v>39193</v>
      </c>
      <c r="B78" s="184" t="s">
        <v>158</v>
      </c>
      <c r="C78" s="186" t="s">
        <v>159</v>
      </c>
    </row>
    <row r="79" spans="1:3" ht="15.75" customHeight="1" thickBot="1" x14ac:dyDescent="0.35">
      <c r="A79" s="183">
        <v>39203</v>
      </c>
      <c r="B79" s="184" t="s">
        <v>155</v>
      </c>
      <c r="C79" s="186" t="s">
        <v>160</v>
      </c>
    </row>
    <row r="80" spans="1:3" ht="15.75" customHeight="1" thickBot="1" x14ac:dyDescent="0.35">
      <c r="A80" s="183">
        <v>39240</v>
      </c>
      <c r="B80" s="184" t="s">
        <v>161</v>
      </c>
      <c r="C80" s="186" t="s">
        <v>162</v>
      </c>
    </row>
    <row r="81" spans="1:3" ht="15.75" customHeight="1" thickBot="1" x14ac:dyDescent="0.35">
      <c r="A81" s="183">
        <v>39332</v>
      </c>
      <c r="B81" s="184" t="s">
        <v>156</v>
      </c>
      <c r="C81" s="186" t="s">
        <v>163</v>
      </c>
    </row>
    <row r="82" spans="1:3" ht="15.75" customHeight="1" thickBot="1" x14ac:dyDescent="0.35">
      <c r="A82" s="183">
        <v>39367</v>
      </c>
      <c r="B82" s="184" t="s">
        <v>156</v>
      </c>
      <c r="C82" s="186" t="s">
        <v>174</v>
      </c>
    </row>
    <row r="83" spans="1:3" ht="15.75" customHeight="1" thickBot="1" x14ac:dyDescent="0.35">
      <c r="A83" s="183">
        <v>39388</v>
      </c>
      <c r="B83" s="184" t="s">
        <v>156</v>
      </c>
      <c r="C83" s="186" t="s">
        <v>165</v>
      </c>
    </row>
    <row r="84" spans="1:3" ht="15.75" customHeight="1" thickBot="1" x14ac:dyDescent="0.35">
      <c r="A84" s="183">
        <v>39401</v>
      </c>
      <c r="B84" s="184" t="s">
        <v>161</v>
      </c>
      <c r="C84" s="186" t="s">
        <v>166</v>
      </c>
    </row>
    <row r="85" spans="1:3" ht="15.75" customHeight="1" thickBot="1" x14ac:dyDescent="0.35">
      <c r="A85" s="183">
        <v>39441</v>
      </c>
      <c r="B85" s="184" t="s">
        <v>155</v>
      </c>
      <c r="C85" s="186" t="s">
        <v>167</v>
      </c>
    </row>
    <row r="86" spans="1:3" ht="15.75" customHeight="1" thickBot="1" x14ac:dyDescent="0.35">
      <c r="A86" s="187">
        <v>39448</v>
      </c>
      <c r="B86" s="188" t="s">
        <v>155</v>
      </c>
      <c r="C86" s="189" t="s">
        <v>153</v>
      </c>
    </row>
    <row r="87" spans="1:3" ht="15.75" customHeight="1" thickBot="1" x14ac:dyDescent="0.35">
      <c r="A87" s="190">
        <v>39482</v>
      </c>
      <c r="B87" s="191" t="s">
        <v>152</v>
      </c>
      <c r="C87" s="192" t="s">
        <v>154</v>
      </c>
    </row>
    <row r="88" spans="1:3" ht="15.75" customHeight="1" thickBot="1" x14ac:dyDescent="0.35">
      <c r="A88" s="190">
        <v>39483</v>
      </c>
      <c r="B88" s="191" t="s">
        <v>155</v>
      </c>
      <c r="C88" s="189" t="s">
        <v>154</v>
      </c>
    </row>
    <row r="89" spans="1:3" ht="15.75" customHeight="1" thickBot="1" x14ac:dyDescent="0.35">
      <c r="A89" s="190">
        <v>39528</v>
      </c>
      <c r="B89" s="191" t="s">
        <v>156</v>
      </c>
      <c r="C89" s="189" t="s">
        <v>157</v>
      </c>
    </row>
    <row r="90" spans="1:3" ht="15.75" customHeight="1" thickBot="1" x14ac:dyDescent="0.35">
      <c r="A90" s="190">
        <v>39559</v>
      </c>
      <c r="B90" s="191" t="s">
        <v>152</v>
      </c>
      <c r="C90" s="189" t="s">
        <v>159</v>
      </c>
    </row>
    <row r="91" spans="1:3" ht="15.75" customHeight="1" thickBot="1" x14ac:dyDescent="0.35">
      <c r="A91" s="190">
        <v>39569</v>
      </c>
      <c r="B91" s="191" t="s">
        <v>161</v>
      </c>
      <c r="C91" s="189" t="s">
        <v>160</v>
      </c>
    </row>
    <row r="92" spans="1:3" ht="15.75" customHeight="1" thickBot="1" x14ac:dyDescent="0.35">
      <c r="A92" s="190">
        <v>39590</v>
      </c>
      <c r="B92" s="191" t="s">
        <v>161</v>
      </c>
      <c r="C92" s="189" t="s">
        <v>162</v>
      </c>
    </row>
    <row r="93" spans="1:3" ht="15.75" customHeight="1" thickBot="1" x14ac:dyDescent="0.35">
      <c r="A93" s="190">
        <v>39698</v>
      </c>
      <c r="B93" s="191" t="s">
        <v>168</v>
      </c>
      <c r="C93" s="189" t="s">
        <v>163</v>
      </c>
    </row>
    <row r="94" spans="1:3" ht="15.75" customHeight="1" thickBot="1" x14ac:dyDescent="0.35">
      <c r="A94" s="190">
        <v>39733</v>
      </c>
      <c r="B94" s="191" t="s">
        <v>168</v>
      </c>
      <c r="C94" s="189" t="s">
        <v>174</v>
      </c>
    </row>
    <row r="95" spans="1:3" ht="15.75" customHeight="1" thickBot="1" x14ac:dyDescent="0.35">
      <c r="A95" s="190">
        <v>39754</v>
      </c>
      <c r="B95" s="191" t="s">
        <v>168</v>
      </c>
      <c r="C95" s="189" t="s">
        <v>165</v>
      </c>
    </row>
    <row r="96" spans="1:3" ht="15.75" customHeight="1" thickBot="1" x14ac:dyDescent="0.35">
      <c r="A96" s="190">
        <v>39767</v>
      </c>
      <c r="B96" s="191" t="s">
        <v>158</v>
      </c>
      <c r="C96" s="189" t="s">
        <v>166</v>
      </c>
    </row>
    <row r="97" spans="1:3" ht="15.75" customHeight="1" thickBot="1" x14ac:dyDescent="0.35">
      <c r="A97" s="190">
        <v>39807</v>
      </c>
      <c r="B97" s="191" t="s">
        <v>161</v>
      </c>
      <c r="C97" s="189" t="s">
        <v>167</v>
      </c>
    </row>
    <row r="98" spans="1:3" ht="15.75" customHeight="1" thickBot="1" x14ac:dyDescent="0.35">
      <c r="A98" s="193">
        <v>39814</v>
      </c>
      <c r="B98" s="194" t="s">
        <v>161</v>
      </c>
      <c r="C98" s="186" t="s">
        <v>153</v>
      </c>
    </row>
    <row r="99" spans="1:3" ht="15.75" customHeight="1" thickBot="1" x14ac:dyDescent="0.35">
      <c r="A99" s="183">
        <v>39867</v>
      </c>
      <c r="B99" s="184" t="s">
        <v>152</v>
      </c>
      <c r="C99" s="185" t="s">
        <v>154</v>
      </c>
    </row>
    <row r="100" spans="1:3" ht="15.75" customHeight="1" thickBot="1" x14ac:dyDescent="0.35">
      <c r="A100" s="183">
        <v>39868</v>
      </c>
      <c r="B100" s="184" t="s">
        <v>155</v>
      </c>
      <c r="C100" s="186" t="s">
        <v>154</v>
      </c>
    </row>
    <row r="101" spans="1:3" ht="15.75" customHeight="1" thickBot="1" x14ac:dyDescent="0.35">
      <c r="A101" s="183">
        <v>39913</v>
      </c>
      <c r="B101" s="184" t="s">
        <v>156</v>
      </c>
      <c r="C101" s="186" t="s">
        <v>157</v>
      </c>
    </row>
    <row r="102" spans="1:3" ht="15.75" customHeight="1" thickBot="1" x14ac:dyDescent="0.35">
      <c r="A102" s="183">
        <v>39924</v>
      </c>
      <c r="B102" s="184" t="s">
        <v>155</v>
      </c>
      <c r="C102" s="186" t="s">
        <v>159</v>
      </c>
    </row>
    <row r="103" spans="1:3" ht="15.75" customHeight="1" thickBot="1" x14ac:dyDescent="0.35">
      <c r="A103" s="183">
        <v>39934</v>
      </c>
      <c r="B103" s="184" t="s">
        <v>156</v>
      </c>
      <c r="C103" s="186" t="s">
        <v>160</v>
      </c>
    </row>
    <row r="104" spans="1:3" ht="15.75" customHeight="1" thickBot="1" x14ac:dyDescent="0.35">
      <c r="A104" s="183">
        <v>39975</v>
      </c>
      <c r="B104" s="184" t="s">
        <v>161</v>
      </c>
      <c r="C104" s="186" t="s">
        <v>162</v>
      </c>
    </row>
    <row r="105" spans="1:3" ht="15.75" customHeight="1" thickBot="1" x14ac:dyDescent="0.35">
      <c r="A105" s="183">
        <v>40063</v>
      </c>
      <c r="B105" s="184" t="s">
        <v>152</v>
      </c>
      <c r="C105" s="186" t="s">
        <v>163</v>
      </c>
    </row>
    <row r="106" spans="1:3" ht="15.75" customHeight="1" thickBot="1" x14ac:dyDescent="0.35">
      <c r="A106" s="183">
        <v>40098</v>
      </c>
      <c r="B106" s="184" t="s">
        <v>152</v>
      </c>
      <c r="C106" s="186" t="s">
        <v>175</v>
      </c>
    </row>
    <row r="107" spans="1:3" ht="15.75" customHeight="1" thickBot="1" x14ac:dyDescent="0.35">
      <c r="A107" s="183">
        <v>40119</v>
      </c>
      <c r="B107" s="184" t="s">
        <v>152</v>
      </c>
      <c r="C107" s="186" t="s">
        <v>165</v>
      </c>
    </row>
    <row r="108" spans="1:3" ht="15.75" customHeight="1" thickBot="1" x14ac:dyDescent="0.35">
      <c r="A108" s="183">
        <v>40132</v>
      </c>
      <c r="B108" s="184" t="s">
        <v>168</v>
      </c>
      <c r="C108" s="186" t="s">
        <v>166</v>
      </c>
    </row>
    <row r="109" spans="1:3" ht="15.75" customHeight="1" thickBot="1" x14ac:dyDescent="0.35">
      <c r="A109" s="183">
        <v>40172</v>
      </c>
      <c r="B109" s="184" t="s">
        <v>156</v>
      </c>
      <c r="C109" s="186" t="s">
        <v>167</v>
      </c>
    </row>
    <row r="110" spans="1:3" ht="15.75" customHeight="1" thickBot="1" x14ac:dyDescent="0.35">
      <c r="A110" s="187">
        <v>40179</v>
      </c>
      <c r="B110" s="188" t="s">
        <v>156</v>
      </c>
      <c r="C110" s="189" t="s">
        <v>153</v>
      </c>
    </row>
    <row r="111" spans="1:3" ht="15.75" customHeight="1" thickBot="1" x14ac:dyDescent="0.35">
      <c r="A111" s="190">
        <v>40224</v>
      </c>
      <c r="B111" s="191" t="s">
        <v>152</v>
      </c>
      <c r="C111" s="192" t="s">
        <v>154</v>
      </c>
    </row>
    <row r="112" spans="1:3" ht="15.75" customHeight="1" thickBot="1" x14ac:dyDescent="0.35">
      <c r="A112" s="190">
        <v>40225</v>
      </c>
      <c r="B112" s="191" t="s">
        <v>155</v>
      </c>
      <c r="C112" s="189" t="s">
        <v>154</v>
      </c>
    </row>
    <row r="113" spans="1:3" ht="15.75" customHeight="1" thickBot="1" x14ac:dyDescent="0.35">
      <c r="A113" s="190">
        <v>40270</v>
      </c>
      <c r="B113" s="191" t="s">
        <v>156</v>
      </c>
      <c r="C113" s="189" t="s">
        <v>157</v>
      </c>
    </row>
    <row r="114" spans="1:3" ht="15.75" customHeight="1" thickBot="1" x14ac:dyDescent="0.35">
      <c r="A114" s="190">
        <v>40289</v>
      </c>
      <c r="B114" s="191" t="s">
        <v>169</v>
      </c>
      <c r="C114" s="189" t="s">
        <v>159</v>
      </c>
    </row>
    <row r="115" spans="1:3" ht="15.75" customHeight="1" thickBot="1" x14ac:dyDescent="0.35">
      <c r="A115" s="190">
        <v>40299</v>
      </c>
      <c r="B115" s="191" t="s">
        <v>158</v>
      </c>
      <c r="C115" s="189" t="s">
        <v>160</v>
      </c>
    </row>
    <row r="116" spans="1:3" ht="15.75" customHeight="1" thickBot="1" x14ac:dyDescent="0.35">
      <c r="A116" s="190">
        <v>40332</v>
      </c>
      <c r="B116" s="191" t="s">
        <v>161</v>
      </c>
      <c r="C116" s="189" t="s">
        <v>162</v>
      </c>
    </row>
    <row r="117" spans="1:3" ht="15.75" customHeight="1" thickBot="1" x14ac:dyDescent="0.35">
      <c r="A117" s="190">
        <v>40428</v>
      </c>
      <c r="B117" s="191" t="s">
        <v>155</v>
      </c>
      <c r="C117" s="189" t="s">
        <v>163</v>
      </c>
    </row>
    <row r="118" spans="1:3" ht="15.75" customHeight="1" thickBot="1" x14ac:dyDescent="0.35">
      <c r="A118" s="190">
        <v>40463</v>
      </c>
      <c r="B118" s="191" t="s">
        <v>155</v>
      </c>
      <c r="C118" s="189" t="s">
        <v>176</v>
      </c>
    </row>
    <row r="119" spans="1:3" ht="15.75" customHeight="1" thickBot="1" x14ac:dyDescent="0.35">
      <c r="A119" s="190">
        <v>40484</v>
      </c>
      <c r="B119" s="191" t="s">
        <v>155</v>
      </c>
      <c r="C119" s="189" t="s">
        <v>165</v>
      </c>
    </row>
    <row r="120" spans="1:3" ht="15.75" customHeight="1" thickBot="1" x14ac:dyDescent="0.35">
      <c r="A120" s="190">
        <v>40497</v>
      </c>
      <c r="B120" s="191" t="s">
        <v>152</v>
      </c>
      <c r="C120" s="189" t="s">
        <v>166</v>
      </c>
    </row>
    <row r="121" spans="1:3" ht="15.75" customHeight="1" thickBot="1" x14ac:dyDescent="0.35">
      <c r="A121" s="190">
        <v>40537</v>
      </c>
      <c r="B121" s="191" t="s">
        <v>158</v>
      </c>
      <c r="C121" s="189" t="s">
        <v>167</v>
      </c>
    </row>
    <row r="122" spans="1:3" ht="15.75" customHeight="1" thickBot="1" x14ac:dyDescent="0.35">
      <c r="A122" s="193">
        <v>40544</v>
      </c>
      <c r="B122" s="194" t="s">
        <v>158</v>
      </c>
      <c r="C122" s="186" t="s">
        <v>153</v>
      </c>
    </row>
    <row r="123" spans="1:3" ht="15.75" customHeight="1" thickBot="1" x14ac:dyDescent="0.35">
      <c r="A123" s="183">
        <v>40609</v>
      </c>
      <c r="B123" s="184" t="s">
        <v>152</v>
      </c>
      <c r="C123" s="185" t="s">
        <v>154</v>
      </c>
    </row>
    <row r="124" spans="1:3" ht="15.75" customHeight="1" thickBot="1" x14ac:dyDescent="0.35">
      <c r="A124" s="183">
        <v>40610</v>
      </c>
      <c r="B124" s="184" t="s">
        <v>155</v>
      </c>
      <c r="C124" s="186" t="s">
        <v>154</v>
      </c>
    </row>
    <row r="125" spans="1:3" ht="15.75" customHeight="1" thickBot="1" x14ac:dyDescent="0.35">
      <c r="A125" s="183">
        <v>40654</v>
      </c>
      <c r="B125" s="184" t="s">
        <v>161</v>
      </c>
      <c r="C125" s="186" t="s">
        <v>157</v>
      </c>
    </row>
    <row r="126" spans="1:3" ht="15.75" customHeight="1" thickBot="1" x14ac:dyDescent="0.35">
      <c r="A126" s="183">
        <v>40655</v>
      </c>
      <c r="B126" s="184" t="s">
        <v>156</v>
      </c>
      <c r="C126" s="186" t="s">
        <v>159</v>
      </c>
    </row>
    <row r="127" spans="1:3" ht="15.75" customHeight="1" thickBot="1" x14ac:dyDescent="0.35">
      <c r="A127" s="183">
        <v>40664</v>
      </c>
      <c r="B127" s="184" t="s">
        <v>168</v>
      </c>
      <c r="C127" s="186" t="s">
        <v>160</v>
      </c>
    </row>
    <row r="128" spans="1:3" ht="15.75" customHeight="1" thickBot="1" x14ac:dyDescent="0.35">
      <c r="A128" s="183">
        <v>40717</v>
      </c>
      <c r="B128" s="184" t="s">
        <v>161</v>
      </c>
      <c r="C128" s="186" t="s">
        <v>162</v>
      </c>
    </row>
    <row r="129" spans="1:3" ht="15.75" customHeight="1" thickBot="1" x14ac:dyDescent="0.35">
      <c r="A129" s="183">
        <v>40793</v>
      </c>
      <c r="B129" s="184" t="s">
        <v>169</v>
      </c>
      <c r="C129" s="186" t="s">
        <v>163</v>
      </c>
    </row>
    <row r="130" spans="1:3" ht="15.75" customHeight="1" thickBot="1" x14ac:dyDescent="0.35">
      <c r="A130" s="183">
        <v>40828</v>
      </c>
      <c r="B130" s="184" t="s">
        <v>169</v>
      </c>
      <c r="C130" s="186" t="s">
        <v>177</v>
      </c>
    </row>
    <row r="131" spans="1:3" ht="15.75" customHeight="1" thickBot="1" x14ac:dyDescent="0.35">
      <c r="A131" s="183">
        <v>40849</v>
      </c>
      <c r="B131" s="184" t="s">
        <v>169</v>
      </c>
      <c r="C131" s="186" t="s">
        <v>165</v>
      </c>
    </row>
    <row r="132" spans="1:3" ht="15.75" customHeight="1" thickBot="1" x14ac:dyDescent="0.35">
      <c r="A132" s="183">
        <v>40862</v>
      </c>
      <c r="B132" s="184" t="s">
        <v>155</v>
      </c>
      <c r="C132" s="186" t="s">
        <v>166</v>
      </c>
    </row>
    <row r="133" spans="1:3" ht="15.75" customHeight="1" thickBot="1" x14ac:dyDescent="0.35">
      <c r="A133" s="183">
        <v>40902</v>
      </c>
      <c r="B133" s="184" t="s">
        <v>168</v>
      </c>
      <c r="C133" s="186" t="s">
        <v>167</v>
      </c>
    </row>
    <row r="134" spans="1:3" ht="15.75" customHeight="1" thickBot="1" x14ac:dyDescent="0.35">
      <c r="A134" s="187">
        <v>40909</v>
      </c>
      <c r="B134" s="188" t="s">
        <v>168</v>
      </c>
      <c r="C134" s="189" t="s">
        <v>153</v>
      </c>
    </row>
    <row r="135" spans="1:3" ht="15.75" customHeight="1" thickBot="1" x14ac:dyDescent="0.35">
      <c r="A135" s="190">
        <v>40959</v>
      </c>
      <c r="B135" s="191" t="s">
        <v>152</v>
      </c>
      <c r="C135" s="192" t="s">
        <v>154</v>
      </c>
    </row>
    <row r="136" spans="1:3" ht="15.75" customHeight="1" thickBot="1" x14ac:dyDescent="0.35">
      <c r="A136" s="190">
        <v>40960</v>
      </c>
      <c r="B136" s="191" t="s">
        <v>155</v>
      </c>
      <c r="C136" s="189" t="s">
        <v>154</v>
      </c>
    </row>
    <row r="137" spans="1:3" ht="15.75" customHeight="1" thickBot="1" x14ac:dyDescent="0.35">
      <c r="A137" s="190">
        <v>41005</v>
      </c>
      <c r="B137" s="191" t="s">
        <v>156</v>
      </c>
      <c r="C137" s="189" t="s">
        <v>157</v>
      </c>
    </row>
    <row r="138" spans="1:3" ht="15.75" customHeight="1" thickBot="1" x14ac:dyDescent="0.35">
      <c r="A138" s="190">
        <v>41020</v>
      </c>
      <c r="B138" s="191" t="s">
        <v>158</v>
      </c>
      <c r="C138" s="189" t="s">
        <v>159</v>
      </c>
    </row>
    <row r="139" spans="1:3" ht="15.75" customHeight="1" thickBot="1" x14ac:dyDescent="0.35">
      <c r="A139" s="190">
        <v>41030</v>
      </c>
      <c r="B139" s="191" t="s">
        <v>155</v>
      </c>
      <c r="C139" s="189" t="s">
        <v>160</v>
      </c>
    </row>
    <row r="140" spans="1:3" ht="15.75" customHeight="1" thickBot="1" x14ac:dyDescent="0.35">
      <c r="A140" s="190">
        <v>41067</v>
      </c>
      <c r="B140" s="191" t="s">
        <v>161</v>
      </c>
      <c r="C140" s="189" t="s">
        <v>162</v>
      </c>
    </row>
    <row r="141" spans="1:3" ht="15.75" customHeight="1" thickBot="1" x14ac:dyDescent="0.35">
      <c r="A141" s="190">
        <v>41159</v>
      </c>
      <c r="B141" s="191" t="s">
        <v>156</v>
      </c>
      <c r="C141" s="189" t="s">
        <v>163</v>
      </c>
    </row>
    <row r="142" spans="1:3" ht="15.75" customHeight="1" thickBot="1" x14ac:dyDescent="0.35">
      <c r="A142" s="190">
        <v>41194</v>
      </c>
      <c r="B142" s="191" t="s">
        <v>156</v>
      </c>
      <c r="C142" s="189" t="s">
        <v>177</v>
      </c>
    </row>
    <row r="143" spans="1:3" ht="15.75" customHeight="1" thickBot="1" x14ac:dyDescent="0.35">
      <c r="A143" s="190">
        <v>41215</v>
      </c>
      <c r="B143" s="191" t="s">
        <v>156</v>
      </c>
      <c r="C143" s="189" t="s">
        <v>165</v>
      </c>
    </row>
    <row r="144" spans="1:3" ht="15.75" customHeight="1" thickBot="1" x14ac:dyDescent="0.35">
      <c r="A144" s="190">
        <v>41228</v>
      </c>
      <c r="B144" s="191" t="s">
        <v>161</v>
      </c>
      <c r="C144" s="189" t="s">
        <v>166</v>
      </c>
    </row>
    <row r="145" spans="1:3" ht="15.75" customHeight="1" thickBot="1" x14ac:dyDescent="0.35">
      <c r="A145" s="190">
        <v>41268</v>
      </c>
      <c r="B145" s="191" t="s">
        <v>155</v>
      </c>
      <c r="C145" s="189" t="s">
        <v>167</v>
      </c>
    </row>
    <row r="146" spans="1:3" ht="15.75" customHeight="1" thickBot="1" x14ac:dyDescent="0.35">
      <c r="A146" s="193">
        <v>41275</v>
      </c>
      <c r="B146" s="194" t="s">
        <v>155</v>
      </c>
      <c r="C146" s="186" t="s">
        <v>153</v>
      </c>
    </row>
    <row r="147" spans="1:3" ht="15.75" customHeight="1" thickBot="1" x14ac:dyDescent="0.35">
      <c r="A147" s="183">
        <v>41316</v>
      </c>
      <c r="B147" s="184" t="s">
        <v>152</v>
      </c>
      <c r="C147" s="185" t="s">
        <v>154</v>
      </c>
    </row>
    <row r="148" spans="1:3" ht="15.75" customHeight="1" thickBot="1" x14ac:dyDescent="0.35">
      <c r="A148" s="183">
        <v>41317</v>
      </c>
      <c r="B148" s="184" t="s">
        <v>155</v>
      </c>
      <c r="C148" s="186" t="s">
        <v>154</v>
      </c>
    </row>
    <row r="149" spans="1:3" ht="15.75" customHeight="1" thickBot="1" x14ac:dyDescent="0.35">
      <c r="A149" s="183">
        <v>41362</v>
      </c>
      <c r="B149" s="184" t="s">
        <v>156</v>
      </c>
      <c r="C149" s="186" t="s">
        <v>157</v>
      </c>
    </row>
    <row r="150" spans="1:3" ht="15.75" customHeight="1" thickBot="1" x14ac:dyDescent="0.35">
      <c r="A150" s="183">
        <v>41385</v>
      </c>
      <c r="B150" s="184" t="s">
        <v>168</v>
      </c>
      <c r="C150" s="186" t="s">
        <v>159</v>
      </c>
    </row>
    <row r="151" spans="1:3" ht="15.75" customHeight="1" thickBot="1" x14ac:dyDescent="0.35">
      <c r="A151" s="183">
        <v>41395</v>
      </c>
      <c r="B151" s="184" t="s">
        <v>169</v>
      </c>
      <c r="C151" s="186" t="s">
        <v>160</v>
      </c>
    </row>
    <row r="152" spans="1:3" ht="15.75" customHeight="1" thickBot="1" x14ac:dyDescent="0.35">
      <c r="A152" s="183">
        <v>41424</v>
      </c>
      <c r="B152" s="184" t="s">
        <v>161</v>
      </c>
      <c r="C152" s="186" t="s">
        <v>162</v>
      </c>
    </row>
    <row r="153" spans="1:3" ht="15.75" customHeight="1" thickBot="1" x14ac:dyDescent="0.35">
      <c r="A153" s="183">
        <v>41524</v>
      </c>
      <c r="B153" s="184" t="s">
        <v>158</v>
      </c>
      <c r="C153" s="186" t="s">
        <v>163</v>
      </c>
    </row>
    <row r="154" spans="1:3" ht="15.75" customHeight="1" thickBot="1" x14ac:dyDescent="0.35">
      <c r="A154" s="183">
        <v>41559</v>
      </c>
      <c r="B154" s="184" t="s">
        <v>158</v>
      </c>
      <c r="C154" s="186" t="s">
        <v>178</v>
      </c>
    </row>
    <row r="155" spans="1:3" ht="15.75" customHeight="1" thickBot="1" x14ac:dyDescent="0.35">
      <c r="A155" s="183">
        <v>41580</v>
      </c>
      <c r="B155" s="184" t="s">
        <v>158</v>
      </c>
      <c r="C155" s="186" t="s">
        <v>165</v>
      </c>
    </row>
    <row r="156" spans="1:3" ht="15.75" customHeight="1" thickBot="1" x14ac:dyDescent="0.35">
      <c r="A156" s="183">
        <v>41593</v>
      </c>
      <c r="B156" s="184" t="s">
        <v>156</v>
      </c>
      <c r="C156" s="186" t="s">
        <v>166</v>
      </c>
    </row>
    <row r="157" spans="1:3" ht="15.75" customHeight="1" thickBot="1" x14ac:dyDescent="0.35">
      <c r="A157" s="183">
        <v>41633</v>
      </c>
      <c r="B157" s="184" t="s">
        <v>169</v>
      </c>
      <c r="C157" s="186" t="s">
        <v>167</v>
      </c>
    </row>
    <row r="158" spans="1:3" ht="15.75" customHeight="1" thickBot="1" x14ac:dyDescent="0.35">
      <c r="A158" s="187">
        <v>41640</v>
      </c>
      <c r="B158" s="188" t="s">
        <v>169</v>
      </c>
      <c r="C158" s="189" t="s">
        <v>153</v>
      </c>
    </row>
    <row r="159" spans="1:3" ht="15.75" customHeight="1" thickBot="1" x14ac:dyDescent="0.35">
      <c r="A159" s="190">
        <v>41701</v>
      </c>
      <c r="B159" s="191" t="s">
        <v>152</v>
      </c>
      <c r="C159" s="192" t="s">
        <v>154</v>
      </c>
    </row>
    <row r="160" spans="1:3" ht="15.75" customHeight="1" thickBot="1" x14ac:dyDescent="0.35">
      <c r="A160" s="190">
        <v>41702</v>
      </c>
      <c r="B160" s="191" t="s">
        <v>155</v>
      </c>
      <c r="C160" s="189" t="s">
        <v>154</v>
      </c>
    </row>
    <row r="161" spans="1:3" ht="15.75" customHeight="1" thickBot="1" x14ac:dyDescent="0.35">
      <c r="A161" s="190">
        <v>41747</v>
      </c>
      <c r="B161" s="191" t="s">
        <v>156</v>
      </c>
      <c r="C161" s="189" t="s">
        <v>157</v>
      </c>
    </row>
    <row r="162" spans="1:3" ht="15.75" customHeight="1" thickBot="1" x14ac:dyDescent="0.35">
      <c r="A162" s="190">
        <v>41750</v>
      </c>
      <c r="B162" s="191" t="s">
        <v>152</v>
      </c>
      <c r="C162" s="189" t="s">
        <v>159</v>
      </c>
    </row>
    <row r="163" spans="1:3" ht="15.75" customHeight="1" thickBot="1" x14ac:dyDescent="0.35">
      <c r="A163" s="190">
        <v>41760</v>
      </c>
      <c r="B163" s="191" t="s">
        <v>161</v>
      </c>
      <c r="C163" s="189" t="s">
        <v>160</v>
      </c>
    </row>
    <row r="164" spans="1:3" ht="15.75" customHeight="1" thickBot="1" x14ac:dyDescent="0.35">
      <c r="A164" s="190">
        <v>41809</v>
      </c>
      <c r="B164" s="191" t="s">
        <v>161</v>
      </c>
      <c r="C164" s="189" t="s">
        <v>162</v>
      </c>
    </row>
    <row r="165" spans="1:3" ht="15.75" customHeight="1" thickBot="1" x14ac:dyDescent="0.35">
      <c r="A165" s="190">
        <v>41889</v>
      </c>
      <c r="B165" s="191" t="s">
        <v>168</v>
      </c>
      <c r="C165" s="189" t="s">
        <v>163</v>
      </c>
    </row>
    <row r="166" spans="1:3" ht="15.75" customHeight="1" thickBot="1" x14ac:dyDescent="0.35">
      <c r="A166" s="190">
        <v>41924</v>
      </c>
      <c r="B166" s="191" t="s">
        <v>168</v>
      </c>
      <c r="C166" s="189" t="s">
        <v>179</v>
      </c>
    </row>
    <row r="167" spans="1:3" ht="15.75" customHeight="1" thickBot="1" x14ac:dyDescent="0.35">
      <c r="A167" s="190">
        <v>41945</v>
      </c>
      <c r="B167" s="191" t="s">
        <v>168</v>
      </c>
      <c r="C167" s="189" t="s">
        <v>165</v>
      </c>
    </row>
    <row r="168" spans="1:3" ht="15.75" customHeight="1" thickBot="1" x14ac:dyDescent="0.35">
      <c r="A168" s="190">
        <v>41958</v>
      </c>
      <c r="B168" s="191" t="s">
        <v>158</v>
      </c>
      <c r="C168" s="189" t="s">
        <v>166</v>
      </c>
    </row>
    <row r="169" spans="1:3" ht="15.75" customHeight="1" thickBot="1" x14ac:dyDescent="0.35">
      <c r="A169" s="190">
        <v>41998</v>
      </c>
      <c r="B169" s="191" t="s">
        <v>161</v>
      </c>
      <c r="C169" s="189" t="s">
        <v>167</v>
      </c>
    </row>
    <row r="170" spans="1:3" ht="15.75" customHeight="1" thickBot="1" x14ac:dyDescent="0.35">
      <c r="A170" s="193">
        <v>42005</v>
      </c>
      <c r="B170" s="194" t="s">
        <v>161</v>
      </c>
      <c r="C170" s="186" t="s">
        <v>153</v>
      </c>
    </row>
    <row r="171" spans="1:3" ht="15.75" customHeight="1" thickBot="1" x14ac:dyDescent="0.35">
      <c r="A171" s="183">
        <v>42051</v>
      </c>
      <c r="B171" s="184" t="s">
        <v>152</v>
      </c>
      <c r="C171" s="185" t="s">
        <v>154</v>
      </c>
    </row>
    <row r="172" spans="1:3" ht="15.75" customHeight="1" thickBot="1" x14ac:dyDescent="0.35">
      <c r="A172" s="183">
        <v>42052</v>
      </c>
      <c r="B172" s="184" t="s">
        <v>155</v>
      </c>
      <c r="C172" s="186" t="s">
        <v>154</v>
      </c>
    </row>
    <row r="173" spans="1:3" ht="15.75" customHeight="1" thickBot="1" x14ac:dyDescent="0.35">
      <c r="A173" s="183">
        <v>42097</v>
      </c>
      <c r="B173" s="184" t="s">
        <v>156</v>
      </c>
      <c r="C173" s="186" t="s">
        <v>157</v>
      </c>
    </row>
    <row r="174" spans="1:3" ht="15.75" customHeight="1" thickBot="1" x14ac:dyDescent="0.35">
      <c r="A174" s="183">
        <v>42115</v>
      </c>
      <c r="B174" s="184" t="s">
        <v>155</v>
      </c>
      <c r="C174" s="186" t="s">
        <v>159</v>
      </c>
    </row>
    <row r="175" spans="1:3" ht="15.75" customHeight="1" thickBot="1" x14ac:dyDescent="0.35">
      <c r="A175" s="183">
        <v>42125</v>
      </c>
      <c r="B175" s="184" t="s">
        <v>156</v>
      </c>
      <c r="C175" s="186" t="s">
        <v>160</v>
      </c>
    </row>
    <row r="176" spans="1:3" ht="15.75" customHeight="1" thickBot="1" x14ac:dyDescent="0.35">
      <c r="A176" s="183">
        <v>42159</v>
      </c>
      <c r="B176" s="184" t="s">
        <v>161</v>
      </c>
      <c r="C176" s="186" t="s">
        <v>162</v>
      </c>
    </row>
    <row r="177" spans="1:3" ht="15.75" customHeight="1" thickBot="1" x14ac:dyDescent="0.35">
      <c r="A177" s="183">
        <v>42254</v>
      </c>
      <c r="B177" s="184" t="s">
        <v>152</v>
      </c>
      <c r="C177" s="186" t="s">
        <v>163</v>
      </c>
    </row>
    <row r="178" spans="1:3" ht="15.75" customHeight="1" thickBot="1" x14ac:dyDescent="0.35">
      <c r="A178" s="183">
        <v>42289</v>
      </c>
      <c r="B178" s="184" t="s">
        <v>152</v>
      </c>
      <c r="C178" s="186" t="s">
        <v>180</v>
      </c>
    </row>
    <row r="179" spans="1:3" ht="15.75" customHeight="1" thickBot="1" x14ac:dyDescent="0.35">
      <c r="A179" s="183">
        <v>42310</v>
      </c>
      <c r="B179" s="184" t="s">
        <v>152</v>
      </c>
      <c r="C179" s="186" t="s">
        <v>165</v>
      </c>
    </row>
    <row r="180" spans="1:3" ht="15.75" customHeight="1" thickBot="1" x14ac:dyDescent="0.35">
      <c r="A180" s="183">
        <v>42323</v>
      </c>
      <c r="B180" s="184" t="s">
        <v>168</v>
      </c>
      <c r="C180" s="186" t="s">
        <v>166</v>
      </c>
    </row>
    <row r="181" spans="1:3" ht="15.75" customHeight="1" thickBot="1" x14ac:dyDescent="0.35">
      <c r="A181" s="183">
        <v>42363</v>
      </c>
      <c r="B181" s="184" t="s">
        <v>156</v>
      </c>
      <c r="C181" s="186" t="s">
        <v>167</v>
      </c>
    </row>
    <row r="182" spans="1:3" ht="15.75" customHeight="1" thickBot="1" x14ac:dyDescent="0.35">
      <c r="A182" s="187">
        <v>42370</v>
      </c>
      <c r="B182" s="188" t="s">
        <v>156</v>
      </c>
      <c r="C182" s="189" t="s">
        <v>153</v>
      </c>
    </row>
    <row r="183" spans="1:3" ht="15.75" customHeight="1" thickBot="1" x14ac:dyDescent="0.35">
      <c r="A183" s="190">
        <v>42408</v>
      </c>
      <c r="B183" s="191" t="s">
        <v>152</v>
      </c>
      <c r="C183" s="192" t="s">
        <v>154</v>
      </c>
    </row>
    <row r="184" spans="1:3" ht="15.75" customHeight="1" thickBot="1" x14ac:dyDescent="0.35">
      <c r="A184" s="190">
        <v>42409</v>
      </c>
      <c r="B184" s="191" t="s">
        <v>155</v>
      </c>
      <c r="C184" s="189" t="s">
        <v>154</v>
      </c>
    </row>
    <row r="185" spans="1:3" ht="15.75" customHeight="1" thickBot="1" x14ac:dyDescent="0.35">
      <c r="A185" s="190">
        <v>42454</v>
      </c>
      <c r="B185" s="191" t="s">
        <v>156</v>
      </c>
      <c r="C185" s="189" t="s">
        <v>157</v>
      </c>
    </row>
    <row r="186" spans="1:3" ht="15.75" customHeight="1" thickBot="1" x14ac:dyDescent="0.35">
      <c r="A186" s="190">
        <v>42481</v>
      </c>
      <c r="B186" s="191" t="s">
        <v>161</v>
      </c>
      <c r="C186" s="189" t="s">
        <v>159</v>
      </c>
    </row>
    <row r="187" spans="1:3" ht="15.75" customHeight="1" thickBot="1" x14ac:dyDescent="0.35">
      <c r="A187" s="190">
        <v>42491</v>
      </c>
      <c r="B187" s="191" t="s">
        <v>168</v>
      </c>
      <c r="C187" s="189" t="s">
        <v>160</v>
      </c>
    </row>
    <row r="188" spans="1:3" ht="15.75" customHeight="1" thickBot="1" x14ac:dyDescent="0.35">
      <c r="A188" s="190">
        <v>42516</v>
      </c>
      <c r="B188" s="191" t="s">
        <v>161</v>
      </c>
      <c r="C188" s="189" t="s">
        <v>162</v>
      </c>
    </row>
    <row r="189" spans="1:3" ht="15.75" customHeight="1" thickBot="1" x14ac:dyDescent="0.35">
      <c r="A189" s="190">
        <v>42620</v>
      </c>
      <c r="B189" s="191" t="s">
        <v>169</v>
      </c>
      <c r="C189" s="189" t="s">
        <v>163</v>
      </c>
    </row>
    <row r="190" spans="1:3" ht="15.75" customHeight="1" thickBot="1" x14ac:dyDescent="0.35">
      <c r="A190" s="190">
        <v>42655</v>
      </c>
      <c r="B190" s="191" t="s">
        <v>169</v>
      </c>
      <c r="C190" s="189" t="s">
        <v>180</v>
      </c>
    </row>
    <row r="191" spans="1:3" ht="15.75" customHeight="1" thickBot="1" x14ac:dyDescent="0.35">
      <c r="A191" s="190">
        <v>42676</v>
      </c>
      <c r="B191" s="191" t="s">
        <v>169</v>
      </c>
      <c r="C191" s="189" t="s">
        <v>165</v>
      </c>
    </row>
    <row r="192" spans="1:3" ht="15.75" customHeight="1" thickBot="1" x14ac:dyDescent="0.35">
      <c r="A192" s="190">
        <v>42689</v>
      </c>
      <c r="B192" s="191" t="s">
        <v>155</v>
      </c>
      <c r="C192" s="189" t="s">
        <v>166</v>
      </c>
    </row>
    <row r="193" spans="1:3" ht="15.75" customHeight="1" thickBot="1" x14ac:dyDescent="0.35">
      <c r="A193" s="190">
        <v>42729</v>
      </c>
      <c r="B193" s="191" t="s">
        <v>168</v>
      </c>
      <c r="C193" s="189" t="s">
        <v>167</v>
      </c>
    </row>
    <row r="194" spans="1:3" ht="15.75" customHeight="1" thickBot="1" x14ac:dyDescent="0.35">
      <c r="A194" s="193">
        <v>42736</v>
      </c>
      <c r="B194" s="194" t="s">
        <v>168</v>
      </c>
      <c r="C194" s="186" t="s">
        <v>153</v>
      </c>
    </row>
    <row r="195" spans="1:3" ht="15.75" customHeight="1" thickBot="1" x14ac:dyDescent="0.35">
      <c r="A195" s="183">
        <v>42793</v>
      </c>
      <c r="B195" s="184" t="s">
        <v>152</v>
      </c>
      <c r="C195" s="185" t="s">
        <v>154</v>
      </c>
    </row>
    <row r="196" spans="1:3" ht="15.75" customHeight="1" thickBot="1" x14ac:dyDescent="0.35">
      <c r="A196" s="183">
        <v>42794</v>
      </c>
      <c r="B196" s="184" t="s">
        <v>155</v>
      </c>
      <c r="C196" s="186" t="s">
        <v>154</v>
      </c>
    </row>
    <row r="197" spans="1:3" ht="15.75" customHeight="1" thickBot="1" x14ac:dyDescent="0.35">
      <c r="A197" s="183">
        <v>42839</v>
      </c>
      <c r="B197" s="184" t="s">
        <v>156</v>
      </c>
      <c r="C197" s="186" t="s">
        <v>157</v>
      </c>
    </row>
    <row r="198" spans="1:3" ht="15.75" customHeight="1" thickBot="1" x14ac:dyDescent="0.35">
      <c r="A198" s="183">
        <v>42846</v>
      </c>
      <c r="B198" s="184" t="s">
        <v>156</v>
      </c>
      <c r="C198" s="186" t="s">
        <v>159</v>
      </c>
    </row>
    <row r="199" spans="1:3" ht="15.75" customHeight="1" thickBot="1" x14ac:dyDescent="0.35">
      <c r="A199" s="183">
        <v>42856</v>
      </c>
      <c r="B199" s="184" t="s">
        <v>152</v>
      </c>
      <c r="C199" s="186" t="s">
        <v>160</v>
      </c>
    </row>
    <row r="200" spans="1:3" ht="15.75" customHeight="1" thickBot="1" x14ac:dyDescent="0.35">
      <c r="A200" s="183">
        <v>42901</v>
      </c>
      <c r="B200" s="184" t="s">
        <v>161</v>
      </c>
      <c r="C200" s="186" t="s">
        <v>162</v>
      </c>
    </row>
    <row r="201" spans="1:3" ht="15.75" customHeight="1" thickBot="1" x14ac:dyDescent="0.35">
      <c r="A201" s="183">
        <v>42985</v>
      </c>
      <c r="B201" s="184" t="s">
        <v>161</v>
      </c>
      <c r="C201" s="186" t="s">
        <v>163</v>
      </c>
    </row>
    <row r="202" spans="1:3" ht="15.75" customHeight="1" thickBot="1" x14ac:dyDescent="0.35">
      <c r="A202" s="183">
        <v>43020</v>
      </c>
      <c r="B202" s="184" t="s">
        <v>161</v>
      </c>
      <c r="C202" s="186" t="s">
        <v>181</v>
      </c>
    </row>
    <row r="203" spans="1:3" ht="15.75" customHeight="1" thickBot="1" x14ac:dyDescent="0.35">
      <c r="A203" s="183">
        <v>43041</v>
      </c>
      <c r="B203" s="184" t="s">
        <v>161</v>
      </c>
      <c r="C203" s="186" t="s">
        <v>165</v>
      </c>
    </row>
    <row r="204" spans="1:3" ht="15.75" customHeight="1" thickBot="1" x14ac:dyDescent="0.35">
      <c r="A204" s="183">
        <v>43054</v>
      </c>
      <c r="B204" s="184" t="s">
        <v>169</v>
      </c>
      <c r="C204" s="186" t="s">
        <v>166</v>
      </c>
    </row>
    <row r="205" spans="1:3" ht="15.75" customHeight="1" thickBot="1" x14ac:dyDescent="0.35">
      <c r="A205" s="183">
        <v>43094</v>
      </c>
      <c r="B205" s="184" t="s">
        <v>152</v>
      </c>
      <c r="C205" s="186" t="s">
        <v>167</v>
      </c>
    </row>
    <row r="206" spans="1:3" ht="15.75" customHeight="1" thickBot="1" x14ac:dyDescent="0.35">
      <c r="A206" s="187">
        <v>43101</v>
      </c>
      <c r="B206" s="188" t="s">
        <v>152</v>
      </c>
      <c r="C206" s="189" t="s">
        <v>153</v>
      </c>
    </row>
    <row r="207" spans="1:3" ht="15.75" customHeight="1" thickBot="1" x14ac:dyDescent="0.35">
      <c r="A207" s="190">
        <v>43143</v>
      </c>
      <c r="B207" s="191" t="s">
        <v>152</v>
      </c>
      <c r="C207" s="192" t="s">
        <v>154</v>
      </c>
    </row>
    <row r="208" spans="1:3" ht="15.75" customHeight="1" thickBot="1" x14ac:dyDescent="0.35">
      <c r="A208" s="190">
        <v>43144</v>
      </c>
      <c r="B208" s="191" t="s">
        <v>155</v>
      </c>
      <c r="C208" s="189" t="s">
        <v>154</v>
      </c>
    </row>
    <row r="209" spans="1:3" ht="15.75" customHeight="1" thickBot="1" x14ac:dyDescent="0.35">
      <c r="A209" s="190">
        <v>43189</v>
      </c>
      <c r="B209" s="191" t="s">
        <v>156</v>
      </c>
      <c r="C209" s="189" t="s">
        <v>157</v>
      </c>
    </row>
    <row r="210" spans="1:3" ht="15.75" customHeight="1" thickBot="1" x14ac:dyDescent="0.35">
      <c r="A210" s="190">
        <v>43211</v>
      </c>
      <c r="B210" s="191" t="s">
        <v>158</v>
      </c>
      <c r="C210" s="189" t="s">
        <v>159</v>
      </c>
    </row>
    <row r="211" spans="1:3" ht="15.75" customHeight="1" thickBot="1" x14ac:dyDescent="0.35">
      <c r="A211" s="190">
        <v>43221</v>
      </c>
      <c r="B211" s="191" t="s">
        <v>155</v>
      </c>
      <c r="C211" s="189" t="s">
        <v>160</v>
      </c>
    </row>
    <row r="212" spans="1:3" ht="15.75" customHeight="1" thickBot="1" x14ac:dyDescent="0.35">
      <c r="A212" s="190">
        <v>43251</v>
      </c>
      <c r="B212" s="191" t="s">
        <v>161</v>
      </c>
      <c r="C212" s="189" t="s">
        <v>162</v>
      </c>
    </row>
    <row r="213" spans="1:3" ht="15.75" customHeight="1" thickBot="1" x14ac:dyDescent="0.35">
      <c r="A213" s="190">
        <v>43350</v>
      </c>
      <c r="B213" s="191" t="s">
        <v>156</v>
      </c>
      <c r="C213" s="189" t="s">
        <v>163</v>
      </c>
    </row>
    <row r="214" spans="1:3" ht="15.75" customHeight="1" thickBot="1" x14ac:dyDescent="0.35">
      <c r="A214" s="190">
        <v>43385</v>
      </c>
      <c r="B214" s="191" t="s">
        <v>156</v>
      </c>
      <c r="C214" s="189" t="s">
        <v>182</v>
      </c>
    </row>
    <row r="215" spans="1:3" ht="15.75" customHeight="1" thickBot="1" x14ac:dyDescent="0.35">
      <c r="A215" s="190">
        <v>43406</v>
      </c>
      <c r="B215" s="191" t="s">
        <v>156</v>
      </c>
      <c r="C215" s="189" t="s">
        <v>165</v>
      </c>
    </row>
    <row r="216" spans="1:3" ht="15.75" customHeight="1" thickBot="1" x14ac:dyDescent="0.35">
      <c r="A216" s="190">
        <v>43419</v>
      </c>
      <c r="B216" s="191" t="s">
        <v>161</v>
      </c>
      <c r="C216" s="189" t="s">
        <v>166</v>
      </c>
    </row>
    <row r="217" spans="1:3" ht="15.75" customHeight="1" thickBot="1" x14ac:dyDescent="0.35">
      <c r="A217" s="190">
        <v>43459</v>
      </c>
      <c r="B217" s="191" t="s">
        <v>155</v>
      </c>
      <c r="C217" s="189" t="s">
        <v>167</v>
      </c>
    </row>
    <row r="218" spans="1:3" ht="15.75" customHeight="1" thickBot="1" x14ac:dyDescent="0.35">
      <c r="A218" s="193">
        <v>43466</v>
      </c>
      <c r="B218" s="194" t="s">
        <v>155</v>
      </c>
      <c r="C218" s="186" t="s">
        <v>153</v>
      </c>
    </row>
    <row r="219" spans="1:3" ht="15.75" customHeight="1" thickBot="1" x14ac:dyDescent="0.35">
      <c r="A219" s="183">
        <v>43528</v>
      </c>
      <c r="B219" s="184" t="s">
        <v>152</v>
      </c>
      <c r="C219" s="185" t="s">
        <v>154</v>
      </c>
    </row>
    <row r="220" spans="1:3" ht="15.75" customHeight="1" thickBot="1" x14ac:dyDescent="0.35">
      <c r="A220" s="183">
        <v>43529</v>
      </c>
      <c r="B220" s="184" t="s">
        <v>155</v>
      </c>
      <c r="C220" s="186" t="s">
        <v>154</v>
      </c>
    </row>
    <row r="221" spans="1:3" ht="15.75" customHeight="1" thickBot="1" x14ac:dyDescent="0.35">
      <c r="A221" s="183">
        <v>43574</v>
      </c>
      <c r="B221" s="184" t="s">
        <v>156</v>
      </c>
      <c r="C221" s="186" t="s">
        <v>157</v>
      </c>
    </row>
    <row r="222" spans="1:3" ht="15.75" customHeight="1" thickBot="1" x14ac:dyDescent="0.35">
      <c r="A222" s="183">
        <v>43576</v>
      </c>
      <c r="B222" s="184" t="s">
        <v>168</v>
      </c>
      <c r="C222" s="186" t="s">
        <v>159</v>
      </c>
    </row>
    <row r="223" spans="1:3" ht="15.75" customHeight="1" thickBot="1" x14ac:dyDescent="0.35">
      <c r="A223" s="183">
        <v>43586</v>
      </c>
      <c r="B223" s="184" t="s">
        <v>169</v>
      </c>
      <c r="C223" s="186" t="s">
        <v>160</v>
      </c>
    </row>
    <row r="224" spans="1:3" ht="15.75" customHeight="1" thickBot="1" x14ac:dyDescent="0.35">
      <c r="A224" s="183">
        <v>43636</v>
      </c>
      <c r="B224" s="184" t="s">
        <v>161</v>
      </c>
      <c r="C224" s="186" t="s">
        <v>162</v>
      </c>
    </row>
    <row r="225" spans="1:3" ht="15.75" customHeight="1" thickBot="1" x14ac:dyDescent="0.35">
      <c r="A225" s="183">
        <v>43715</v>
      </c>
      <c r="B225" s="184" t="s">
        <v>158</v>
      </c>
      <c r="C225" s="186" t="s">
        <v>163</v>
      </c>
    </row>
    <row r="226" spans="1:3" ht="15.75" customHeight="1" thickBot="1" x14ac:dyDescent="0.35">
      <c r="A226" s="183">
        <v>43750</v>
      </c>
      <c r="B226" s="184" t="s">
        <v>158</v>
      </c>
      <c r="C226" s="186" t="s">
        <v>183</v>
      </c>
    </row>
    <row r="227" spans="1:3" ht="15.75" customHeight="1" thickBot="1" x14ac:dyDescent="0.35">
      <c r="A227" s="183">
        <v>43771</v>
      </c>
      <c r="B227" s="184" t="s">
        <v>158</v>
      </c>
      <c r="C227" s="186" t="s">
        <v>165</v>
      </c>
    </row>
    <row r="228" spans="1:3" ht="15.75" customHeight="1" thickBot="1" x14ac:dyDescent="0.35">
      <c r="A228" s="183">
        <v>43784</v>
      </c>
      <c r="B228" s="184" t="s">
        <v>156</v>
      </c>
      <c r="C228" s="186" t="s">
        <v>166</v>
      </c>
    </row>
    <row r="229" spans="1:3" ht="15.75" customHeight="1" thickBot="1" x14ac:dyDescent="0.35">
      <c r="A229" s="183">
        <v>43824</v>
      </c>
      <c r="B229" s="184" t="s">
        <v>169</v>
      </c>
      <c r="C229" s="186" t="s">
        <v>167</v>
      </c>
    </row>
    <row r="230" spans="1:3" ht="15.75" customHeight="1" thickBot="1" x14ac:dyDescent="0.35">
      <c r="A230" s="187">
        <v>43831</v>
      </c>
      <c r="B230" s="188" t="s">
        <v>169</v>
      </c>
      <c r="C230" s="189" t="s">
        <v>153</v>
      </c>
    </row>
    <row r="231" spans="1:3" ht="15.75" customHeight="1" thickBot="1" x14ac:dyDescent="0.35">
      <c r="A231" s="190">
        <v>43885</v>
      </c>
      <c r="B231" s="191" t="s">
        <v>152</v>
      </c>
      <c r="C231" s="192" t="s">
        <v>154</v>
      </c>
    </row>
    <row r="232" spans="1:3" ht="15.75" customHeight="1" thickBot="1" x14ac:dyDescent="0.35">
      <c r="A232" s="190">
        <v>43886</v>
      </c>
      <c r="B232" s="191" t="s">
        <v>155</v>
      </c>
      <c r="C232" s="189" t="s">
        <v>154</v>
      </c>
    </row>
    <row r="233" spans="1:3" ht="15.75" customHeight="1" thickBot="1" x14ac:dyDescent="0.35">
      <c r="A233" s="190">
        <v>43931</v>
      </c>
      <c r="B233" s="191" t="s">
        <v>156</v>
      </c>
      <c r="C233" s="189" t="s">
        <v>157</v>
      </c>
    </row>
    <row r="234" spans="1:3" ht="15.75" customHeight="1" thickBot="1" x14ac:dyDescent="0.35">
      <c r="A234" s="190">
        <v>43942</v>
      </c>
      <c r="B234" s="191" t="s">
        <v>155</v>
      </c>
      <c r="C234" s="189" t="s">
        <v>159</v>
      </c>
    </row>
    <row r="235" spans="1:3" ht="15.75" customHeight="1" thickBot="1" x14ac:dyDescent="0.35">
      <c r="A235" s="190">
        <v>43952</v>
      </c>
      <c r="B235" s="191" t="s">
        <v>156</v>
      </c>
      <c r="C235" s="189" t="s">
        <v>160</v>
      </c>
    </row>
    <row r="236" spans="1:3" ht="15.75" customHeight="1" thickBot="1" x14ac:dyDescent="0.35">
      <c r="A236" s="190">
        <v>43993</v>
      </c>
      <c r="B236" s="191" t="s">
        <v>161</v>
      </c>
      <c r="C236" s="189" t="s">
        <v>162</v>
      </c>
    </row>
    <row r="237" spans="1:3" ht="15.75" customHeight="1" thickBot="1" x14ac:dyDescent="0.35">
      <c r="A237" s="190">
        <v>44081</v>
      </c>
      <c r="B237" s="191" t="s">
        <v>152</v>
      </c>
      <c r="C237" s="189" t="s">
        <v>163</v>
      </c>
    </row>
    <row r="238" spans="1:3" ht="15.75" customHeight="1" thickBot="1" x14ac:dyDescent="0.35">
      <c r="A238" s="190">
        <v>44116</v>
      </c>
      <c r="B238" s="191" t="s">
        <v>152</v>
      </c>
      <c r="C238" s="189" t="s">
        <v>183</v>
      </c>
    </row>
    <row r="239" spans="1:3" ht="15.75" customHeight="1" thickBot="1" x14ac:dyDescent="0.35">
      <c r="A239" s="190">
        <v>44137</v>
      </c>
      <c r="B239" s="191" t="s">
        <v>152</v>
      </c>
      <c r="C239" s="189" t="s">
        <v>165</v>
      </c>
    </row>
    <row r="240" spans="1:3" ht="15.75" customHeight="1" thickBot="1" x14ac:dyDescent="0.35">
      <c r="A240" s="190">
        <v>44150</v>
      </c>
      <c r="B240" s="191" t="s">
        <v>168</v>
      </c>
      <c r="C240" s="189" t="s">
        <v>166</v>
      </c>
    </row>
    <row r="241" spans="1:3" ht="15.75" customHeight="1" thickBot="1" x14ac:dyDescent="0.35">
      <c r="A241" s="190">
        <v>44190</v>
      </c>
      <c r="B241" s="191" t="s">
        <v>156</v>
      </c>
      <c r="C241" s="189" t="s">
        <v>167</v>
      </c>
    </row>
    <row r="242" spans="1:3" ht="15.75" customHeight="1" thickBot="1" x14ac:dyDescent="0.35">
      <c r="A242" s="193">
        <v>44197</v>
      </c>
      <c r="B242" s="194" t="s">
        <v>156</v>
      </c>
      <c r="C242" s="186" t="s">
        <v>153</v>
      </c>
    </row>
    <row r="243" spans="1:3" ht="15.75" customHeight="1" thickBot="1" x14ac:dyDescent="0.35">
      <c r="A243" s="183">
        <v>44242</v>
      </c>
      <c r="B243" s="184" t="s">
        <v>152</v>
      </c>
      <c r="C243" s="185" t="s">
        <v>154</v>
      </c>
    </row>
    <row r="244" spans="1:3" ht="15.75" customHeight="1" thickBot="1" x14ac:dyDescent="0.35">
      <c r="A244" s="183">
        <v>44243</v>
      </c>
      <c r="B244" s="184" t="s">
        <v>155</v>
      </c>
      <c r="C244" s="186" t="s">
        <v>154</v>
      </c>
    </row>
    <row r="245" spans="1:3" ht="15.75" customHeight="1" thickBot="1" x14ac:dyDescent="0.35">
      <c r="A245" s="183">
        <v>44288</v>
      </c>
      <c r="B245" s="184" t="s">
        <v>156</v>
      </c>
      <c r="C245" s="186" t="s">
        <v>157</v>
      </c>
    </row>
    <row r="246" spans="1:3" ht="15.75" customHeight="1" thickBot="1" x14ac:dyDescent="0.35">
      <c r="A246" s="183">
        <v>44307</v>
      </c>
      <c r="B246" s="184" t="s">
        <v>169</v>
      </c>
      <c r="C246" s="186" t="s">
        <v>159</v>
      </c>
    </row>
    <row r="247" spans="1:3" ht="15.75" customHeight="1" thickBot="1" x14ac:dyDescent="0.35">
      <c r="A247" s="183">
        <v>44317</v>
      </c>
      <c r="B247" s="184" t="s">
        <v>158</v>
      </c>
      <c r="C247" s="186" t="s">
        <v>160</v>
      </c>
    </row>
    <row r="248" spans="1:3" ht="15.75" customHeight="1" thickBot="1" x14ac:dyDescent="0.35">
      <c r="A248" s="183">
        <v>44350</v>
      </c>
      <c r="B248" s="184" t="s">
        <v>161</v>
      </c>
      <c r="C248" s="186" t="s">
        <v>162</v>
      </c>
    </row>
    <row r="249" spans="1:3" ht="15.75" customHeight="1" thickBot="1" x14ac:dyDescent="0.35">
      <c r="A249" s="183">
        <v>44446</v>
      </c>
      <c r="B249" s="184" t="s">
        <v>155</v>
      </c>
      <c r="C249" s="186" t="s">
        <v>163</v>
      </c>
    </row>
    <row r="250" spans="1:3" ht="15.75" customHeight="1" thickBot="1" x14ac:dyDescent="0.35">
      <c r="A250" s="183">
        <v>44481</v>
      </c>
      <c r="B250" s="184" t="s">
        <v>155</v>
      </c>
      <c r="C250" s="186" t="s">
        <v>184</v>
      </c>
    </row>
    <row r="251" spans="1:3" ht="15.75" customHeight="1" thickBot="1" x14ac:dyDescent="0.35">
      <c r="A251" s="183">
        <v>44502</v>
      </c>
      <c r="B251" s="184" t="s">
        <v>155</v>
      </c>
      <c r="C251" s="186" t="s">
        <v>165</v>
      </c>
    </row>
    <row r="252" spans="1:3" ht="15.75" customHeight="1" thickBot="1" x14ac:dyDescent="0.35">
      <c r="A252" s="183">
        <v>44515</v>
      </c>
      <c r="B252" s="184" t="s">
        <v>152</v>
      </c>
      <c r="C252" s="186" t="s">
        <v>166</v>
      </c>
    </row>
    <row r="253" spans="1:3" ht="15.75" customHeight="1" thickBot="1" x14ac:dyDescent="0.35">
      <c r="A253" s="183">
        <v>44555</v>
      </c>
      <c r="B253" s="184" t="s">
        <v>158</v>
      </c>
      <c r="C253" s="186" t="s">
        <v>167</v>
      </c>
    </row>
    <row r="254" spans="1:3" ht="15.75" customHeight="1" thickBot="1" x14ac:dyDescent="0.35">
      <c r="A254" s="187">
        <v>44562</v>
      </c>
      <c r="B254" s="188" t="s">
        <v>158</v>
      </c>
      <c r="C254" s="189" t="s">
        <v>153</v>
      </c>
    </row>
    <row r="255" spans="1:3" ht="15.75" customHeight="1" thickBot="1" x14ac:dyDescent="0.35">
      <c r="A255" s="190">
        <v>44620</v>
      </c>
      <c r="B255" s="191" t="s">
        <v>152</v>
      </c>
      <c r="C255" s="192" t="s">
        <v>154</v>
      </c>
    </row>
    <row r="256" spans="1:3" ht="15.75" customHeight="1" thickBot="1" x14ac:dyDescent="0.35">
      <c r="A256" s="190">
        <v>44621</v>
      </c>
      <c r="B256" s="191" t="s">
        <v>155</v>
      </c>
      <c r="C256" s="189" t="s">
        <v>154</v>
      </c>
    </row>
    <row r="257" spans="1:3" ht="15.75" customHeight="1" thickBot="1" x14ac:dyDescent="0.35">
      <c r="A257" s="190">
        <v>44666</v>
      </c>
      <c r="B257" s="191" t="s">
        <v>156</v>
      </c>
      <c r="C257" s="189" t="s">
        <v>157</v>
      </c>
    </row>
    <row r="258" spans="1:3" ht="15.75" customHeight="1" thickBot="1" x14ac:dyDescent="0.35">
      <c r="A258" s="190">
        <v>44672</v>
      </c>
      <c r="B258" s="191" t="s">
        <v>161</v>
      </c>
      <c r="C258" s="189" t="s">
        <v>159</v>
      </c>
    </row>
    <row r="259" spans="1:3" ht="15.75" customHeight="1" thickBot="1" x14ac:dyDescent="0.35">
      <c r="A259" s="190">
        <v>44682</v>
      </c>
      <c r="B259" s="191" t="s">
        <v>168</v>
      </c>
      <c r="C259" s="189" t="s">
        <v>160</v>
      </c>
    </row>
    <row r="260" spans="1:3" ht="15.75" customHeight="1" thickBot="1" x14ac:dyDescent="0.35">
      <c r="A260" s="190">
        <v>44728</v>
      </c>
      <c r="B260" s="191" t="s">
        <v>161</v>
      </c>
      <c r="C260" s="189" t="s">
        <v>162</v>
      </c>
    </row>
    <row r="261" spans="1:3" ht="15.75" customHeight="1" thickBot="1" x14ac:dyDescent="0.35">
      <c r="A261" s="190">
        <v>44811</v>
      </c>
      <c r="B261" s="191" t="s">
        <v>169</v>
      </c>
      <c r="C261" s="189" t="s">
        <v>163</v>
      </c>
    </row>
    <row r="262" spans="1:3" ht="15.75" customHeight="1" thickBot="1" x14ac:dyDescent="0.35">
      <c r="A262" s="190">
        <v>44846</v>
      </c>
      <c r="B262" s="191" t="s">
        <v>169</v>
      </c>
      <c r="C262" s="189" t="s">
        <v>185</v>
      </c>
    </row>
    <row r="263" spans="1:3" ht="15.75" customHeight="1" thickBot="1" x14ac:dyDescent="0.35">
      <c r="A263" s="190">
        <v>44867</v>
      </c>
      <c r="B263" s="191" t="s">
        <v>169</v>
      </c>
      <c r="C263" s="189" t="s">
        <v>165</v>
      </c>
    </row>
    <row r="264" spans="1:3" ht="15.75" customHeight="1" thickBot="1" x14ac:dyDescent="0.35">
      <c r="A264" s="190">
        <v>44880</v>
      </c>
      <c r="B264" s="191" t="s">
        <v>155</v>
      </c>
      <c r="C264" s="189" t="s">
        <v>166</v>
      </c>
    </row>
    <row r="265" spans="1:3" ht="15.75" customHeight="1" thickBot="1" x14ac:dyDescent="0.35">
      <c r="A265" s="190">
        <v>44920</v>
      </c>
      <c r="B265" s="191" t="s">
        <v>168</v>
      </c>
      <c r="C265" s="189" t="s">
        <v>167</v>
      </c>
    </row>
    <row r="266" spans="1:3" ht="15.75" customHeight="1" thickBot="1" x14ac:dyDescent="0.35">
      <c r="A266" s="193">
        <v>44927</v>
      </c>
      <c r="B266" s="194" t="s">
        <v>168</v>
      </c>
      <c r="C266" s="186" t="s">
        <v>153</v>
      </c>
    </row>
    <row r="267" spans="1:3" ht="15.75" customHeight="1" thickBot="1" x14ac:dyDescent="0.35">
      <c r="A267" s="183">
        <v>44977</v>
      </c>
      <c r="B267" s="184" t="s">
        <v>152</v>
      </c>
      <c r="C267" s="185" t="s">
        <v>154</v>
      </c>
    </row>
    <row r="268" spans="1:3" ht="15.75" customHeight="1" thickBot="1" x14ac:dyDescent="0.35">
      <c r="A268" s="183">
        <v>44978</v>
      </c>
      <c r="B268" s="184" t="s">
        <v>155</v>
      </c>
      <c r="C268" s="186" t="s">
        <v>154</v>
      </c>
    </row>
    <row r="269" spans="1:3" ht="15.75" customHeight="1" thickBot="1" x14ac:dyDescent="0.35">
      <c r="A269" s="183">
        <v>45023</v>
      </c>
      <c r="B269" s="184" t="s">
        <v>156</v>
      </c>
      <c r="C269" s="186" t="s">
        <v>157</v>
      </c>
    </row>
    <row r="270" spans="1:3" ht="15.75" customHeight="1" thickBot="1" x14ac:dyDescent="0.35">
      <c r="A270" s="183">
        <v>45037</v>
      </c>
      <c r="B270" s="184" t="s">
        <v>156</v>
      </c>
      <c r="C270" s="186" t="s">
        <v>159</v>
      </c>
    </row>
    <row r="271" spans="1:3" ht="15.75" customHeight="1" thickBot="1" x14ac:dyDescent="0.35">
      <c r="A271" s="183">
        <v>45047</v>
      </c>
      <c r="B271" s="184" t="s">
        <v>152</v>
      </c>
      <c r="C271" s="186" t="s">
        <v>160</v>
      </c>
    </row>
    <row r="272" spans="1:3" ht="15.75" customHeight="1" thickBot="1" x14ac:dyDescent="0.35">
      <c r="A272" s="183">
        <v>45085</v>
      </c>
      <c r="B272" s="184" t="s">
        <v>161</v>
      </c>
      <c r="C272" s="186" t="s">
        <v>162</v>
      </c>
    </row>
    <row r="273" spans="1:3" ht="15.75" customHeight="1" thickBot="1" x14ac:dyDescent="0.35">
      <c r="A273" s="183">
        <v>45176</v>
      </c>
      <c r="B273" s="184" t="s">
        <v>161</v>
      </c>
      <c r="C273" s="186" t="s">
        <v>163</v>
      </c>
    </row>
    <row r="274" spans="1:3" ht="15.75" customHeight="1" thickBot="1" x14ac:dyDescent="0.35">
      <c r="A274" s="183">
        <v>45211</v>
      </c>
      <c r="B274" s="184" t="s">
        <v>161</v>
      </c>
      <c r="C274" s="186" t="s">
        <v>186</v>
      </c>
    </row>
    <row r="275" spans="1:3" ht="15.75" customHeight="1" thickBot="1" x14ac:dyDescent="0.35">
      <c r="A275" s="183">
        <v>45232</v>
      </c>
      <c r="B275" s="184" t="s">
        <v>161</v>
      </c>
      <c r="C275" s="186" t="s">
        <v>165</v>
      </c>
    </row>
    <row r="276" spans="1:3" ht="15.75" customHeight="1" thickBot="1" x14ac:dyDescent="0.35">
      <c r="A276" s="183">
        <v>45245</v>
      </c>
      <c r="B276" s="184" t="s">
        <v>169</v>
      </c>
      <c r="C276" s="186" t="s">
        <v>166</v>
      </c>
    </row>
    <row r="277" spans="1:3" ht="15.75" customHeight="1" thickBot="1" x14ac:dyDescent="0.35">
      <c r="A277" s="183">
        <v>45285</v>
      </c>
      <c r="B277" s="184" t="s">
        <v>152</v>
      </c>
      <c r="C277" s="186" t="s">
        <v>167</v>
      </c>
    </row>
    <row r="278" spans="1:3" ht="15.75" customHeight="1" thickBot="1" x14ac:dyDescent="0.35">
      <c r="A278" s="187">
        <v>45292</v>
      </c>
      <c r="B278" s="188" t="s">
        <v>152</v>
      </c>
      <c r="C278" s="189" t="s">
        <v>153</v>
      </c>
    </row>
    <row r="279" spans="1:3" ht="15.75" customHeight="1" thickBot="1" x14ac:dyDescent="0.35">
      <c r="A279" s="190">
        <v>45334</v>
      </c>
      <c r="B279" s="191" t="s">
        <v>152</v>
      </c>
      <c r="C279" s="192" t="s">
        <v>154</v>
      </c>
    </row>
    <row r="280" spans="1:3" ht="15.75" customHeight="1" thickBot="1" x14ac:dyDescent="0.35">
      <c r="A280" s="190">
        <v>45335</v>
      </c>
      <c r="B280" s="191" t="s">
        <v>155</v>
      </c>
      <c r="C280" s="189" t="s">
        <v>154</v>
      </c>
    </row>
    <row r="281" spans="1:3" ht="15.75" customHeight="1" thickBot="1" x14ac:dyDescent="0.35">
      <c r="A281" s="190">
        <v>45380</v>
      </c>
      <c r="B281" s="191" t="s">
        <v>156</v>
      </c>
      <c r="C281" s="189" t="s">
        <v>157</v>
      </c>
    </row>
    <row r="282" spans="1:3" ht="15.75" customHeight="1" thickBot="1" x14ac:dyDescent="0.35">
      <c r="A282" s="190">
        <v>45403</v>
      </c>
      <c r="B282" s="191" t="s">
        <v>168</v>
      </c>
      <c r="C282" s="189" t="s">
        <v>159</v>
      </c>
    </row>
    <row r="283" spans="1:3" ht="15.75" customHeight="1" thickBot="1" x14ac:dyDescent="0.35">
      <c r="A283" s="190">
        <v>45413</v>
      </c>
      <c r="B283" s="191" t="s">
        <v>169</v>
      </c>
      <c r="C283" s="189" t="s">
        <v>160</v>
      </c>
    </row>
    <row r="284" spans="1:3" ht="15.75" customHeight="1" thickBot="1" x14ac:dyDescent="0.35">
      <c r="A284" s="190">
        <v>45442</v>
      </c>
      <c r="B284" s="191" t="s">
        <v>161</v>
      </c>
      <c r="C284" s="189" t="s">
        <v>162</v>
      </c>
    </row>
    <row r="285" spans="1:3" ht="15.75" customHeight="1" thickBot="1" x14ac:dyDescent="0.35">
      <c r="A285" s="190">
        <v>45542</v>
      </c>
      <c r="B285" s="191" t="s">
        <v>158</v>
      </c>
      <c r="C285" s="189" t="s">
        <v>163</v>
      </c>
    </row>
    <row r="286" spans="1:3" ht="15.75" customHeight="1" thickBot="1" x14ac:dyDescent="0.35">
      <c r="A286" s="190">
        <v>45577</v>
      </c>
      <c r="B286" s="191" t="s">
        <v>158</v>
      </c>
      <c r="C286" s="189" t="s">
        <v>186</v>
      </c>
    </row>
    <row r="287" spans="1:3" ht="15.75" customHeight="1" thickBot="1" x14ac:dyDescent="0.35">
      <c r="A287" s="190">
        <v>45598</v>
      </c>
      <c r="B287" s="191" t="s">
        <v>158</v>
      </c>
      <c r="C287" s="189" t="s">
        <v>165</v>
      </c>
    </row>
    <row r="288" spans="1:3" ht="15.75" customHeight="1" thickBot="1" x14ac:dyDescent="0.35">
      <c r="A288" s="190">
        <v>45611</v>
      </c>
      <c r="B288" s="191" t="s">
        <v>156</v>
      </c>
      <c r="C288" s="189" t="s">
        <v>166</v>
      </c>
    </row>
    <row r="289" spans="1:3" ht="15.75" customHeight="1" thickBot="1" x14ac:dyDescent="0.35">
      <c r="A289" s="190">
        <v>45651</v>
      </c>
      <c r="B289" s="191" t="s">
        <v>169</v>
      </c>
      <c r="C289" s="189" t="s">
        <v>167</v>
      </c>
    </row>
    <row r="290" spans="1:3" ht="15.75" customHeight="1" thickBot="1" x14ac:dyDescent="0.35">
      <c r="A290" s="193">
        <v>45658</v>
      </c>
      <c r="B290" s="194" t="s">
        <v>169</v>
      </c>
      <c r="C290" s="186" t="s">
        <v>153</v>
      </c>
    </row>
    <row r="291" spans="1:3" ht="15.75" customHeight="1" thickBot="1" x14ac:dyDescent="0.35">
      <c r="A291" s="183">
        <v>45719</v>
      </c>
      <c r="B291" s="184" t="s">
        <v>152</v>
      </c>
      <c r="C291" s="185" t="s">
        <v>154</v>
      </c>
    </row>
    <row r="292" spans="1:3" ht="15.75" customHeight="1" thickBot="1" x14ac:dyDescent="0.35">
      <c r="A292" s="183">
        <v>45720</v>
      </c>
      <c r="B292" s="184" t="s">
        <v>155</v>
      </c>
      <c r="C292" s="186" t="s">
        <v>154</v>
      </c>
    </row>
    <row r="293" spans="1:3" ht="15.75" customHeight="1" thickBot="1" x14ac:dyDescent="0.35">
      <c r="A293" s="183">
        <v>45765</v>
      </c>
      <c r="B293" s="184" t="s">
        <v>156</v>
      </c>
      <c r="C293" s="186" t="s">
        <v>157</v>
      </c>
    </row>
    <row r="294" spans="1:3" ht="15.75" customHeight="1" thickBot="1" x14ac:dyDescent="0.35">
      <c r="A294" s="183">
        <v>45768</v>
      </c>
      <c r="B294" s="184" t="s">
        <v>152</v>
      </c>
      <c r="C294" s="186" t="s">
        <v>159</v>
      </c>
    </row>
    <row r="295" spans="1:3" ht="15.75" customHeight="1" thickBot="1" x14ac:dyDescent="0.35">
      <c r="A295" s="183">
        <v>45778</v>
      </c>
      <c r="B295" s="184" t="s">
        <v>161</v>
      </c>
      <c r="C295" s="186" t="s">
        <v>160</v>
      </c>
    </row>
    <row r="296" spans="1:3" ht="15.75" customHeight="1" thickBot="1" x14ac:dyDescent="0.35">
      <c r="A296" s="183">
        <v>45827</v>
      </c>
      <c r="B296" s="184" t="s">
        <v>161</v>
      </c>
      <c r="C296" s="186" t="s">
        <v>162</v>
      </c>
    </row>
    <row r="297" spans="1:3" ht="15.75" customHeight="1" thickBot="1" x14ac:dyDescent="0.35">
      <c r="A297" s="183">
        <v>45907</v>
      </c>
      <c r="B297" s="184" t="s">
        <v>168</v>
      </c>
      <c r="C297" s="186" t="s">
        <v>163</v>
      </c>
    </row>
    <row r="298" spans="1:3" ht="15.75" customHeight="1" thickBot="1" x14ac:dyDescent="0.35">
      <c r="A298" s="183">
        <v>45942</v>
      </c>
      <c r="B298" s="184" t="s">
        <v>168</v>
      </c>
      <c r="C298" s="186" t="s">
        <v>187</v>
      </c>
    </row>
    <row r="299" spans="1:3" ht="15.75" customHeight="1" thickBot="1" x14ac:dyDescent="0.35">
      <c r="A299" s="183">
        <v>45963</v>
      </c>
      <c r="B299" s="184" t="s">
        <v>168</v>
      </c>
      <c r="C299" s="186" t="s">
        <v>165</v>
      </c>
    </row>
    <row r="300" spans="1:3" ht="15.75" customHeight="1" thickBot="1" x14ac:dyDescent="0.35">
      <c r="A300" s="183">
        <v>45976</v>
      </c>
      <c r="B300" s="184" t="s">
        <v>158</v>
      </c>
      <c r="C300" s="186" t="s">
        <v>166</v>
      </c>
    </row>
    <row r="301" spans="1:3" ht="15.75" customHeight="1" thickBot="1" x14ac:dyDescent="0.35">
      <c r="A301" s="183">
        <v>46016</v>
      </c>
      <c r="B301" s="184" t="s">
        <v>161</v>
      </c>
      <c r="C301" s="186" t="s">
        <v>167</v>
      </c>
    </row>
    <row r="302" spans="1:3" ht="15.75" customHeight="1" thickBot="1" x14ac:dyDescent="0.35">
      <c r="A302" s="187">
        <v>46023</v>
      </c>
      <c r="B302" s="188" t="s">
        <v>161</v>
      </c>
      <c r="C302" s="189" t="s">
        <v>153</v>
      </c>
    </row>
    <row r="303" spans="1:3" ht="15.75" customHeight="1" thickBot="1" x14ac:dyDescent="0.35">
      <c r="A303" s="190">
        <v>46069</v>
      </c>
      <c r="B303" s="191" t="s">
        <v>152</v>
      </c>
      <c r="C303" s="192" t="s">
        <v>154</v>
      </c>
    </row>
    <row r="304" spans="1:3" ht="15.75" customHeight="1" thickBot="1" x14ac:dyDescent="0.35">
      <c r="A304" s="190">
        <v>46070</v>
      </c>
      <c r="B304" s="191" t="s">
        <v>155</v>
      </c>
      <c r="C304" s="189" t="s">
        <v>154</v>
      </c>
    </row>
    <row r="305" spans="1:3" ht="15.75" customHeight="1" thickBot="1" x14ac:dyDescent="0.35">
      <c r="A305" s="190">
        <v>46115</v>
      </c>
      <c r="B305" s="191" t="s">
        <v>156</v>
      </c>
      <c r="C305" s="189" t="s">
        <v>157</v>
      </c>
    </row>
    <row r="306" spans="1:3" ht="15.75" customHeight="1" thickBot="1" x14ac:dyDescent="0.35">
      <c r="A306" s="190">
        <v>46133</v>
      </c>
      <c r="B306" s="191" t="s">
        <v>155</v>
      </c>
      <c r="C306" s="189" t="s">
        <v>159</v>
      </c>
    </row>
    <row r="307" spans="1:3" ht="15.75" customHeight="1" thickBot="1" x14ac:dyDescent="0.35">
      <c r="A307" s="190">
        <v>46143</v>
      </c>
      <c r="B307" s="191" t="s">
        <v>156</v>
      </c>
      <c r="C307" s="189" t="s">
        <v>160</v>
      </c>
    </row>
    <row r="308" spans="1:3" ht="15.75" customHeight="1" thickBot="1" x14ac:dyDescent="0.35">
      <c r="A308" s="190">
        <v>46177</v>
      </c>
      <c r="B308" s="191" t="s">
        <v>161</v>
      </c>
      <c r="C308" s="189" t="s">
        <v>162</v>
      </c>
    </row>
    <row r="309" spans="1:3" ht="15.75" customHeight="1" thickBot="1" x14ac:dyDescent="0.35">
      <c r="A309" s="190">
        <v>46272</v>
      </c>
      <c r="B309" s="191" t="s">
        <v>152</v>
      </c>
      <c r="C309" s="189" t="s">
        <v>163</v>
      </c>
    </row>
    <row r="310" spans="1:3" ht="15.75" customHeight="1" thickBot="1" x14ac:dyDescent="0.35">
      <c r="A310" s="190">
        <v>46307</v>
      </c>
      <c r="B310" s="191" t="s">
        <v>152</v>
      </c>
      <c r="C310" s="189" t="s">
        <v>188</v>
      </c>
    </row>
    <row r="311" spans="1:3" ht="15.75" customHeight="1" thickBot="1" x14ac:dyDescent="0.35">
      <c r="A311" s="190">
        <v>46328</v>
      </c>
      <c r="B311" s="191" t="s">
        <v>152</v>
      </c>
      <c r="C311" s="189" t="s">
        <v>165</v>
      </c>
    </row>
    <row r="312" spans="1:3" ht="15.75" customHeight="1" thickBot="1" x14ac:dyDescent="0.35">
      <c r="A312" s="190">
        <v>46341</v>
      </c>
      <c r="B312" s="191" t="s">
        <v>168</v>
      </c>
      <c r="C312" s="189" t="s">
        <v>166</v>
      </c>
    </row>
    <row r="313" spans="1:3" ht="15.75" customHeight="1" thickBot="1" x14ac:dyDescent="0.35">
      <c r="A313" s="190">
        <v>46381</v>
      </c>
      <c r="B313" s="191" t="s">
        <v>156</v>
      </c>
      <c r="C313" s="189" t="s">
        <v>167</v>
      </c>
    </row>
    <row r="314" spans="1:3" ht="15.75" customHeight="1" thickBot="1" x14ac:dyDescent="0.35">
      <c r="A314" s="193">
        <v>46388</v>
      </c>
      <c r="B314" s="194" t="s">
        <v>156</v>
      </c>
      <c r="C314" s="186" t="s">
        <v>153</v>
      </c>
    </row>
    <row r="315" spans="1:3" ht="15.75" customHeight="1" thickBot="1" x14ac:dyDescent="0.35">
      <c r="A315" s="183">
        <v>46426</v>
      </c>
      <c r="B315" s="184" t="s">
        <v>152</v>
      </c>
      <c r="C315" s="185" t="s">
        <v>154</v>
      </c>
    </row>
    <row r="316" spans="1:3" ht="15.75" customHeight="1" thickBot="1" x14ac:dyDescent="0.35">
      <c r="A316" s="183">
        <v>46427</v>
      </c>
      <c r="B316" s="184" t="s">
        <v>155</v>
      </c>
      <c r="C316" s="186" t="s">
        <v>154</v>
      </c>
    </row>
    <row r="317" spans="1:3" ht="15.75" customHeight="1" thickBot="1" x14ac:dyDescent="0.35">
      <c r="A317" s="183">
        <v>46472</v>
      </c>
      <c r="B317" s="184" t="s">
        <v>156</v>
      </c>
      <c r="C317" s="186" t="s">
        <v>157</v>
      </c>
    </row>
    <row r="318" spans="1:3" ht="15.75" customHeight="1" thickBot="1" x14ac:dyDescent="0.35">
      <c r="A318" s="183">
        <v>46498</v>
      </c>
      <c r="B318" s="184" t="s">
        <v>169</v>
      </c>
      <c r="C318" s="186" t="s">
        <v>159</v>
      </c>
    </row>
    <row r="319" spans="1:3" ht="15.75" customHeight="1" thickBot="1" x14ac:dyDescent="0.35">
      <c r="A319" s="183">
        <v>46508</v>
      </c>
      <c r="B319" s="184" t="s">
        <v>158</v>
      </c>
      <c r="C319" s="186" t="s">
        <v>160</v>
      </c>
    </row>
    <row r="320" spans="1:3" ht="15.75" customHeight="1" thickBot="1" x14ac:dyDescent="0.35">
      <c r="A320" s="183">
        <v>46534</v>
      </c>
      <c r="B320" s="184" t="s">
        <v>161</v>
      </c>
      <c r="C320" s="186" t="s">
        <v>162</v>
      </c>
    </row>
    <row r="321" spans="1:3" ht="15.75" customHeight="1" thickBot="1" x14ac:dyDescent="0.35">
      <c r="A321" s="183">
        <v>46637</v>
      </c>
      <c r="B321" s="184" t="s">
        <v>155</v>
      </c>
      <c r="C321" s="186" t="s">
        <v>163</v>
      </c>
    </row>
    <row r="322" spans="1:3" ht="15.75" customHeight="1" thickBot="1" x14ac:dyDescent="0.35">
      <c r="A322" s="183">
        <v>46672</v>
      </c>
      <c r="B322" s="184" t="s">
        <v>155</v>
      </c>
      <c r="C322" s="186" t="s">
        <v>189</v>
      </c>
    </row>
    <row r="323" spans="1:3" ht="15.75" customHeight="1" thickBot="1" x14ac:dyDescent="0.35">
      <c r="A323" s="183">
        <v>46693</v>
      </c>
      <c r="B323" s="184" t="s">
        <v>155</v>
      </c>
      <c r="C323" s="186" t="s">
        <v>165</v>
      </c>
    </row>
    <row r="324" spans="1:3" ht="15.75" customHeight="1" thickBot="1" x14ac:dyDescent="0.35">
      <c r="A324" s="183">
        <v>46706</v>
      </c>
      <c r="B324" s="184" t="s">
        <v>152</v>
      </c>
      <c r="C324" s="186" t="s">
        <v>166</v>
      </c>
    </row>
    <row r="325" spans="1:3" ht="15.75" customHeight="1" thickBot="1" x14ac:dyDescent="0.35">
      <c r="A325" s="183">
        <v>46746</v>
      </c>
      <c r="B325" s="184" t="s">
        <v>158</v>
      </c>
      <c r="C325" s="186" t="s">
        <v>167</v>
      </c>
    </row>
    <row r="326" spans="1:3" ht="15.75" customHeight="1" thickBot="1" x14ac:dyDescent="0.35">
      <c r="A326" s="187">
        <v>46753</v>
      </c>
      <c r="B326" s="188" t="s">
        <v>158</v>
      </c>
      <c r="C326" s="189" t="s">
        <v>153</v>
      </c>
    </row>
    <row r="327" spans="1:3" ht="15.75" customHeight="1" thickBot="1" x14ac:dyDescent="0.35">
      <c r="A327" s="190">
        <v>46811</v>
      </c>
      <c r="B327" s="191" t="s">
        <v>152</v>
      </c>
      <c r="C327" s="192" t="s">
        <v>154</v>
      </c>
    </row>
    <row r="328" spans="1:3" ht="15.75" customHeight="1" thickBot="1" x14ac:dyDescent="0.35">
      <c r="A328" s="190">
        <v>46812</v>
      </c>
      <c r="B328" s="191" t="s">
        <v>155</v>
      </c>
      <c r="C328" s="189" t="s">
        <v>154</v>
      </c>
    </row>
    <row r="329" spans="1:3" ht="15.75" customHeight="1" thickBot="1" x14ac:dyDescent="0.35">
      <c r="A329" s="190">
        <v>46857</v>
      </c>
      <c r="B329" s="191" t="s">
        <v>156</v>
      </c>
      <c r="C329" s="189" t="s">
        <v>157</v>
      </c>
    </row>
    <row r="330" spans="1:3" ht="15.75" customHeight="1" thickBot="1" x14ac:dyDescent="0.35">
      <c r="A330" s="190">
        <v>46864</v>
      </c>
      <c r="B330" s="191" t="s">
        <v>156</v>
      </c>
      <c r="C330" s="189" t="s">
        <v>159</v>
      </c>
    </row>
    <row r="331" spans="1:3" ht="15.75" customHeight="1" thickBot="1" x14ac:dyDescent="0.35">
      <c r="A331" s="190">
        <v>46874</v>
      </c>
      <c r="B331" s="191" t="s">
        <v>152</v>
      </c>
      <c r="C331" s="189" t="s">
        <v>160</v>
      </c>
    </row>
    <row r="332" spans="1:3" ht="15.75" customHeight="1" thickBot="1" x14ac:dyDescent="0.35">
      <c r="A332" s="190">
        <v>46919</v>
      </c>
      <c r="B332" s="191" t="s">
        <v>161</v>
      </c>
      <c r="C332" s="189" t="s">
        <v>162</v>
      </c>
    </row>
    <row r="333" spans="1:3" ht="15.75" customHeight="1" thickBot="1" x14ac:dyDescent="0.35">
      <c r="A333" s="190">
        <v>47003</v>
      </c>
      <c r="B333" s="191" t="s">
        <v>161</v>
      </c>
      <c r="C333" s="189" t="s">
        <v>163</v>
      </c>
    </row>
    <row r="334" spans="1:3" ht="15.75" customHeight="1" thickBot="1" x14ac:dyDescent="0.35">
      <c r="A334" s="190">
        <v>47038</v>
      </c>
      <c r="B334" s="191" t="s">
        <v>161</v>
      </c>
      <c r="C334" s="189" t="s">
        <v>189</v>
      </c>
    </row>
    <row r="335" spans="1:3" ht="15.75" customHeight="1" thickBot="1" x14ac:dyDescent="0.35">
      <c r="A335" s="190">
        <v>47059</v>
      </c>
      <c r="B335" s="191" t="s">
        <v>161</v>
      </c>
      <c r="C335" s="189" t="s">
        <v>165</v>
      </c>
    </row>
    <row r="336" spans="1:3" ht="15.75" customHeight="1" thickBot="1" x14ac:dyDescent="0.35">
      <c r="A336" s="190">
        <v>47072</v>
      </c>
      <c r="B336" s="191" t="s">
        <v>169</v>
      </c>
      <c r="C336" s="189" t="s">
        <v>166</v>
      </c>
    </row>
    <row r="337" spans="1:3" ht="15.75" customHeight="1" thickBot="1" x14ac:dyDescent="0.35">
      <c r="A337" s="190">
        <v>47112</v>
      </c>
      <c r="B337" s="191" t="s">
        <v>152</v>
      </c>
      <c r="C337" s="189" t="s">
        <v>167</v>
      </c>
    </row>
    <row r="338" spans="1:3" ht="15.75" customHeight="1" thickBot="1" x14ac:dyDescent="0.35">
      <c r="A338" s="193">
        <v>47119</v>
      </c>
      <c r="B338" s="194" t="s">
        <v>152</v>
      </c>
      <c r="C338" s="186" t="s">
        <v>153</v>
      </c>
    </row>
    <row r="339" spans="1:3" ht="15.75" customHeight="1" thickBot="1" x14ac:dyDescent="0.35">
      <c r="A339" s="183">
        <v>47161</v>
      </c>
      <c r="B339" s="184" t="s">
        <v>152</v>
      </c>
      <c r="C339" s="185" t="s">
        <v>154</v>
      </c>
    </row>
    <row r="340" spans="1:3" ht="15.75" customHeight="1" thickBot="1" x14ac:dyDescent="0.35">
      <c r="A340" s="183">
        <v>47162</v>
      </c>
      <c r="B340" s="184" t="s">
        <v>155</v>
      </c>
      <c r="C340" s="186" t="s">
        <v>154</v>
      </c>
    </row>
    <row r="341" spans="1:3" ht="15.75" customHeight="1" thickBot="1" x14ac:dyDescent="0.35">
      <c r="A341" s="183">
        <v>47207</v>
      </c>
      <c r="B341" s="184" t="s">
        <v>156</v>
      </c>
      <c r="C341" s="186" t="s">
        <v>157</v>
      </c>
    </row>
    <row r="342" spans="1:3" ht="15.75" customHeight="1" thickBot="1" x14ac:dyDescent="0.35">
      <c r="A342" s="183">
        <v>47229</v>
      </c>
      <c r="B342" s="184" t="s">
        <v>158</v>
      </c>
      <c r="C342" s="186" t="s">
        <v>159</v>
      </c>
    </row>
    <row r="343" spans="1:3" ht="15.75" customHeight="1" thickBot="1" x14ac:dyDescent="0.35">
      <c r="A343" s="183">
        <v>47239</v>
      </c>
      <c r="B343" s="184" t="s">
        <v>155</v>
      </c>
      <c r="C343" s="186" t="s">
        <v>160</v>
      </c>
    </row>
    <row r="344" spans="1:3" ht="15.75" customHeight="1" thickBot="1" x14ac:dyDescent="0.35">
      <c r="A344" s="183">
        <v>47269</v>
      </c>
      <c r="B344" s="184" t="s">
        <v>161</v>
      </c>
      <c r="C344" s="186" t="s">
        <v>162</v>
      </c>
    </row>
    <row r="345" spans="1:3" ht="15.75" customHeight="1" thickBot="1" x14ac:dyDescent="0.35">
      <c r="A345" s="183">
        <v>47368</v>
      </c>
      <c r="B345" s="184" t="s">
        <v>156</v>
      </c>
      <c r="C345" s="186" t="s">
        <v>163</v>
      </c>
    </row>
    <row r="346" spans="1:3" ht="15.75" customHeight="1" thickBot="1" x14ac:dyDescent="0.35">
      <c r="A346" s="183">
        <v>47403</v>
      </c>
      <c r="B346" s="184" t="s">
        <v>156</v>
      </c>
      <c r="C346" s="186" t="s">
        <v>190</v>
      </c>
    </row>
    <row r="347" spans="1:3" ht="15.75" customHeight="1" thickBot="1" x14ac:dyDescent="0.35">
      <c r="A347" s="183">
        <v>47424</v>
      </c>
      <c r="B347" s="184" t="s">
        <v>156</v>
      </c>
      <c r="C347" s="186" t="s">
        <v>165</v>
      </c>
    </row>
    <row r="348" spans="1:3" ht="15.75" customHeight="1" thickBot="1" x14ac:dyDescent="0.35">
      <c r="A348" s="183">
        <v>47437</v>
      </c>
      <c r="B348" s="184" t="s">
        <v>161</v>
      </c>
      <c r="C348" s="186" t="s">
        <v>166</v>
      </c>
    </row>
    <row r="349" spans="1:3" ht="15.75" customHeight="1" thickBot="1" x14ac:dyDescent="0.35">
      <c r="A349" s="183">
        <v>47477</v>
      </c>
      <c r="B349" s="184" t="s">
        <v>155</v>
      </c>
      <c r="C349" s="186" t="s">
        <v>167</v>
      </c>
    </row>
    <row r="350" spans="1:3" ht="15.75" customHeight="1" thickBot="1" x14ac:dyDescent="0.35">
      <c r="A350" s="187">
        <v>47484</v>
      </c>
      <c r="B350" s="188" t="s">
        <v>155</v>
      </c>
      <c r="C350" s="189" t="s">
        <v>153</v>
      </c>
    </row>
    <row r="351" spans="1:3" ht="15.75" customHeight="1" thickBot="1" x14ac:dyDescent="0.35">
      <c r="A351" s="190">
        <v>47546</v>
      </c>
      <c r="B351" s="191" t="s">
        <v>152</v>
      </c>
      <c r="C351" s="192" t="s">
        <v>154</v>
      </c>
    </row>
    <row r="352" spans="1:3" ht="15.75" customHeight="1" thickBot="1" x14ac:dyDescent="0.35">
      <c r="A352" s="190">
        <v>47547</v>
      </c>
      <c r="B352" s="191" t="s">
        <v>155</v>
      </c>
      <c r="C352" s="189" t="s">
        <v>154</v>
      </c>
    </row>
    <row r="353" spans="1:3" ht="15.75" customHeight="1" thickBot="1" x14ac:dyDescent="0.35">
      <c r="A353" s="190">
        <v>47592</v>
      </c>
      <c r="B353" s="191" t="s">
        <v>156</v>
      </c>
      <c r="C353" s="189" t="s">
        <v>157</v>
      </c>
    </row>
    <row r="354" spans="1:3" ht="15.75" customHeight="1" thickBot="1" x14ac:dyDescent="0.35">
      <c r="A354" s="190">
        <v>47594</v>
      </c>
      <c r="B354" s="191" t="s">
        <v>168</v>
      </c>
      <c r="C354" s="189" t="s">
        <v>159</v>
      </c>
    </row>
    <row r="355" spans="1:3" ht="15.75" customHeight="1" thickBot="1" x14ac:dyDescent="0.35">
      <c r="A355" s="190">
        <v>47604</v>
      </c>
      <c r="B355" s="191" t="s">
        <v>169</v>
      </c>
      <c r="C355" s="189" t="s">
        <v>160</v>
      </c>
    </row>
    <row r="356" spans="1:3" ht="15.75" customHeight="1" thickBot="1" x14ac:dyDescent="0.35">
      <c r="A356" s="190">
        <v>47654</v>
      </c>
      <c r="B356" s="191" t="s">
        <v>161</v>
      </c>
      <c r="C356" s="189" t="s">
        <v>162</v>
      </c>
    </row>
    <row r="357" spans="1:3" ht="15.75" customHeight="1" thickBot="1" x14ac:dyDescent="0.35">
      <c r="A357" s="190">
        <v>47733</v>
      </c>
      <c r="B357" s="191" t="s">
        <v>158</v>
      </c>
      <c r="C357" s="189" t="s">
        <v>163</v>
      </c>
    </row>
    <row r="358" spans="1:3" ht="15.75" customHeight="1" thickBot="1" x14ac:dyDescent="0.35">
      <c r="A358" s="190">
        <v>47768</v>
      </c>
      <c r="B358" s="191" t="s">
        <v>158</v>
      </c>
      <c r="C358" s="189" t="s">
        <v>191</v>
      </c>
    </row>
    <row r="359" spans="1:3" ht="15.75" customHeight="1" thickBot="1" x14ac:dyDescent="0.35">
      <c r="A359" s="190">
        <v>47789</v>
      </c>
      <c r="B359" s="191" t="s">
        <v>158</v>
      </c>
      <c r="C359" s="189" t="s">
        <v>165</v>
      </c>
    </row>
    <row r="360" spans="1:3" ht="15.75" customHeight="1" thickBot="1" x14ac:dyDescent="0.35">
      <c r="A360" s="190">
        <v>47802</v>
      </c>
      <c r="B360" s="191" t="s">
        <v>156</v>
      </c>
      <c r="C360" s="189" t="s">
        <v>166</v>
      </c>
    </row>
    <row r="361" spans="1:3" ht="15.75" customHeight="1" thickBot="1" x14ac:dyDescent="0.35">
      <c r="A361" s="190">
        <v>47842</v>
      </c>
      <c r="B361" s="191" t="s">
        <v>169</v>
      </c>
      <c r="C361" s="189" t="s">
        <v>167</v>
      </c>
    </row>
    <row r="362" spans="1:3" ht="15.75" customHeight="1" thickBot="1" x14ac:dyDescent="0.35">
      <c r="A362" s="193">
        <v>47849</v>
      </c>
      <c r="B362" s="194" t="s">
        <v>169</v>
      </c>
      <c r="C362" s="186" t="s">
        <v>153</v>
      </c>
    </row>
    <row r="363" spans="1:3" ht="15.75" customHeight="1" thickBot="1" x14ac:dyDescent="0.35">
      <c r="A363" s="183">
        <v>47903</v>
      </c>
      <c r="B363" s="184" t="s">
        <v>152</v>
      </c>
      <c r="C363" s="185" t="s">
        <v>154</v>
      </c>
    </row>
    <row r="364" spans="1:3" ht="15.75" customHeight="1" thickBot="1" x14ac:dyDescent="0.35">
      <c r="A364" s="183">
        <v>47904</v>
      </c>
      <c r="B364" s="184" t="s">
        <v>155</v>
      </c>
      <c r="C364" s="186" t="s">
        <v>154</v>
      </c>
    </row>
    <row r="365" spans="1:3" ht="15.75" customHeight="1" thickBot="1" x14ac:dyDescent="0.35">
      <c r="A365" s="183">
        <v>47949</v>
      </c>
      <c r="B365" s="184" t="s">
        <v>156</v>
      </c>
      <c r="C365" s="186" t="s">
        <v>157</v>
      </c>
    </row>
    <row r="366" spans="1:3" ht="15.75" customHeight="1" thickBot="1" x14ac:dyDescent="0.35">
      <c r="A366" s="183">
        <v>47959</v>
      </c>
      <c r="B366" s="184" t="s">
        <v>152</v>
      </c>
      <c r="C366" s="186" t="s">
        <v>159</v>
      </c>
    </row>
    <row r="367" spans="1:3" ht="15.75" customHeight="1" thickBot="1" x14ac:dyDescent="0.35">
      <c r="A367" s="183">
        <v>47969</v>
      </c>
      <c r="B367" s="184" t="s">
        <v>161</v>
      </c>
      <c r="C367" s="186" t="s">
        <v>160</v>
      </c>
    </row>
    <row r="368" spans="1:3" ht="15.75" customHeight="1" thickBot="1" x14ac:dyDescent="0.35">
      <c r="A368" s="183">
        <v>48011</v>
      </c>
      <c r="B368" s="184" t="s">
        <v>161</v>
      </c>
      <c r="C368" s="186" t="s">
        <v>162</v>
      </c>
    </row>
    <row r="369" spans="1:3" ht="15.75" customHeight="1" thickBot="1" x14ac:dyDescent="0.35">
      <c r="A369" s="183">
        <v>48098</v>
      </c>
      <c r="B369" s="184" t="s">
        <v>168</v>
      </c>
      <c r="C369" s="186" t="s">
        <v>163</v>
      </c>
    </row>
    <row r="370" spans="1:3" ht="15.75" customHeight="1" thickBot="1" x14ac:dyDescent="0.35">
      <c r="A370" s="183">
        <v>48133</v>
      </c>
      <c r="B370" s="184" t="s">
        <v>168</v>
      </c>
      <c r="C370" s="186" t="s">
        <v>192</v>
      </c>
    </row>
    <row r="371" spans="1:3" ht="15.75" customHeight="1" thickBot="1" x14ac:dyDescent="0.35">
      <c r="A371" s="183">
        <v>48154</v>
      </c>
      <c r="B371" s="184" t="s">
        <v>168</v>
      </c>
      <c r="C371" s="186" t="s">
        <v>165</v>
      </c>
    </row>
    <row r="372" spans="1:3" ht="15.75" customHeight="1" thickBot="1" x14ac:dyDescent="0.35">
      <c r="A372" s="183">
        <v>48167</v>
      </c>
      <c r="B372" s="184" t="s">
        <v>158</v>
      </c>
      <c r="C372" s="186" t="s">
        <v>166</v>
      </c>
    </row>
    <row r="373" spans="1:3" ht="15.75" customHeight="1" thickBot="1" x14ac:dyDescent="0.35">
      <c r="A373" s="183">
        <v>48207</v>
      </c>
      <c r="B373" s="184" t="s">
        <v>161</v>
      </c>
      <c r="C373" s="186" t="s">
        <v>167</v>
      </c>
    </row>
    <row r="374" spans="1:3" ht="15.75" customHeight="1" thickBot="1" x14ac:dyDescent="0.35">
      <c r="A374" s="187">
        <v>48214</v>
      </c>
      <c r="B374" s="188" t="s">
        <v>161</v>
      </c>
      <c r="C374" s="189" t="s">
        <v>153</v>
      </c>
    </row>
    <row r="375" spans="1:3" ht="15.75" customHeight="1" thickBot="1" x14ac:dyDescent="0.35">
      <c r="A375" s="190">
        <v>48253</v>
      </c>
      <c r="B375" s="191" t="s">
        <v>152</v>
      </c>
      <c r="C375" s="192" t="s">
        <v>154</v>
      </c>
    </row>
    <row r="376" spans="1:3" ht="15.75" customHeight="1" thickBot="1" x14ac:dyDescent="0.35">
      <c r="A376" s="190">
        <v>48254</v>
      </c>
      <c r="B376" s="191" t="s">
        <v>155</v>
      </c>
      <c r="C376" s="189" t="s">
        <v>154</v>
      </c>
    </row>
    <row r="377" spans="1:3" ht="15.75" customHeight="1" thickBot="1" x14ac:dyDescent="0.35">
      <c r="A377" s="190">
        <v>48299</v>
      </c>
      <c r="B377" s="191" t="s">
        <v>156</v>
      </c>
      <c r="C377" s="189" t="s">
        <v>157</v>
      </c>
    </row>
    <row r="378" spans="1:3" ht="15.75" customHeight="1" thickBot="1" x14ac:dyDescent="0.35">
      <c r="A378" s="190">
        <v>48325</v>
      </c>
      <c r="B378" s="191" t="s">
        <v>169</v>
      </c>
      <c r="C378" s="189" t="s">
        <v>159</v>
      </c>
    </row>
    <row r="379" spans="1:3" ht="15.75" customHeight="1" thickBot="1" x14ac:dyDescent="0.35">
      <c r="A379" s="190">
        <v>48335</v>
      </c>
      <c r="B379" s="191" t="s">
        <v>158</v>
      </c>
      <c r="C379" s="189" t="s">
        <v>160</v>
      </c>
    </row>
    <row r="380" spans="1:3" ht="15.75" customHeight="1" thickBot="1" x14ac:dyDescent="0.35">
      <c r="A380" s="190">
        <v>48361</v>
      </c>
      <c r="B380" s="191" t="s">
        <v>161</v>
      </c>
      <c r="C380" s="189" t="s">
        <v>162</v>
      </c>
    </row>
    <row r="381" spans="1:3" ht="15.75" customHeight="1" thickBot="1" x14ac:dyDescent="0.35">
      <c r="A381" s="190">
        <v>48464</v>
      </c>
      <c r="B381" s="191" t="s">
        <v>155</v>
      </c>
      <c r="C381" s="189" t="s">
        <v>163</v>
      </c>
    </row>
    <row r="382" spans="1:3" ht="15.75" customHeight="1" thickBot="1" x14ac:dyDescent="0.35">
      <c r="A382" s="190">
        <v>48499</v>
      </c>
      <c r="B382" s="191" t="s">
        <v>155</v>
      </c>
      <c r="C382" s="189" t="s">
        <v>192</v>
      </c>
    </row>
    <row r="383" spans="1:3" ht="15.75" customHeight="1" thickBot="1" x14ac:dyDescent="0.35">
      <c r="A383" s="190">
        <v>48520</v>
      </c>
      <c r="B383" s="191" t="s">
        <v>155</v>
      </c>
      <c r="C383" s="189" t="s">
        <v>165</v>
      </c>
    </row>
    <row r="384" spans="1:3" ht="15.75" customHeight="1" thickBot="1" x14ac:dyDescent="0.35">
      <c r="A384" s="190">
        <v>48533</v>
      </c>
      <c r="B384" s="191" t="s">
        <v>152</v>
      </c>
      <c r="C384" s="189" t="s">
        <v>166</v>
      </c>
    </row>
    <row r="385" spans="1:3" ht="15.75" customHeight="1" thickBot="1" x14ac:dyDescent="0.35">
      <c r="A385" s="190">
        <v>48573</v>
      </c>
      <c r="B385" s="191" t="s">
        <v>158</v>
      </c>
      <c r="C385" s="189" t="s">
        <v>167</v>
      </c>
    </row>
    <row r="386" spans="1:3" ht="15.75" customHeight="1" thickBot="1" x14ac:dyDescent="0.35">
      <c r="A386" s="187">
        <v>48580</v>
      </c>
      <c r="B386" s="188" t="s">
        <v>158</v>
      </c>
      <c r="C386" s="189" t="s">
        <v>153</v>
      </c>
    </row>
    <row r="387" spans="1:3" ht="15.75" customHeight="1" thickBot="1" x14ac:dyDescent="0.35">
      <c r="A387" s="183">
        <v>48638</v>
      </c>
      <c r="B387" s="184" t="s">
        <v>152</v>
      </c>
      <c r="C387" s="185" t="s">
        <v>154</v>
      </c>
    </row>
    <row r="388" spans="1:3" ht="15.75" customHeight="1" thickBot="1" x14ac:dyDescent="0.35">
      <c r="A388" s="183">
        <v>48639</v>
      </c>
      <c r="B388" s="184" t="s">
        <v>155</v>
      </c>
      <c r="C388" s="186" t="s">
        <v>154</v>
      </c>
    </row>
    <row r="389" spans="1:3" ht="15.75" customHeight="1" thickBot="1" x14ac:dyDescent="0.35">
      <c r="A389" s="183">
        <v>48684</v>
      </c>
      <c r="B389" s="184" t="s">
        <v>156</v>
      </c>
      <c r="C389" s="186" t="s">
        <v>157</v>
      </c>
    </row>
    <row r="390" spans="1:3" ht="15.75" customHeight="1" thickBot="1" x14ac:dyDescent="0.35">
      <c r="A390" s="183">
        <v>48690</v>
      </c>
      <c r="B390" s="184" t="s">
        <v>161</v>
      </c>
      <c r="C390" s="186" t="s">
        <v>159</v>
      </c>
    </row>
    <row r="391" spans="1:3" ht="15.75" customHeight="1" thickBot="1" x14ac:dyDescent="0.35">
      <c r="A391" s="183">
        <v>48700</v>
      </c>
      <c r="B391" s="184" t="s">
        <v>168</v>
      </c>
      <c r="C391" s="186" t="s">
        <v>160</v>
      </c>
    </row>
    <row r="392" spans="1:3" ht="15.75" customHeight="1" thickBot="1" x14ac:dyDescent="0.35">
      <c r="A392" s="183">
        <v>48746</v>
      </c>
      <c r="B392" s="184" t="s">
        <v>161</v>
      </c>
      <c r="C392" s="186" t="s">
        <v>162</v>
      </c>
    </row>
    <row r="393" spans="1:3" ht="15.75" customHeight="1" thickBot="1" x14ac:dyDescent="0.35">
      <c r="A393" s="183">
        <v>48829</v>
      </c>
      <c r="B393" s="184" t="s">
        <v>169</v>
      </c>
      <c r="C393" s="186" t="s">
        <v>163</v>
      </c>
    </row>
    <row r="394" spans="1:3" ht="15.75" customHeight="1" thickBot="1" x14ac:dyDescent="0.35">
      <c r="A394" s="183">
        <v>48864</v>
      </c>
      <c r="B394" s="184" t="s">
        <v>169</v>
      </c>
      <c r="C394" s="186" t="s">
        <v>193</v>
      </c>
    </row>
    <row r="395" spans="1:3" ht="15.75" customHeight="1" thickBot="1" x14ac:dyDescent="0.35">
      <c r="A395" s="183">
        <v>48885</v>
      </c>
      <c r="B395" s="184" t="s">
        <v>169</v>
      </c>
      <c r="C395" s="186" t="s">
        <v>165</v>
      </c>
    </row>
    <row r="396" spans="1:3" ht="15.75" customHeight="1" thickBot="1" x14ac:dyDescent="0.35">
      <c r="A396" s="183">
        <v>48898</v>
      </c>
      <c r="B396" s="184" t="s">
        <v>155</v>
      </c>
      <c r="C396" s="186" t="s">
        <v>166</v>
      </c>
    </row>
    <row r="397" spans="1:3" ht="15.75" customHeight="1" thickBot="1" x14ac:dyDescent="0.35">
      <c r="A397" s="183">
        <v>48938</v>
      </c>
      <c r="B397" s="184" t="s">
        <v>168</v>
      </c>
      <c r="C397" s="186" t="s">
        <v>167</v>
      </c>
    </row>
    <row r="398" spans="1:3" ht="15.75" customHeight="1" thickBot="1" x14ac:dyDescent="0.35">
      <c r="A398" s="187">
        <v>48945</v>
      </c>
      <c r="B398" s="188" t="s">
        <v>168</v>
      </c>
      <c r="C398" s="189" t="s">
        <v>153</v>
      </c>
    </row>
    <row r="399" spans="1:3" ht="15.75" customHeight="1" thickBot="1" x14ac:dyDescent="0.35">
      <c r="A399" s="190">
        <v>48995</v>
      </c>
      <c r="B399" s="191" t="s">
        <v>152</v>
      </c>
      <c r="C399" s="192" t="s">
        <v>154</v>
      </c>
    </row>
    <row r="400" spans="1:3" ht="15.75" customHeight="1" thickBot="1" x14ac:dyDescent="0.35">
      <c r="A400" s="190">
        <v>48996</v>
      </c>
      <c r="B400" s="191" t="s">
        <v>155</v>
      </c>
      <c r="C400" s="189" t="s">
        <v>154</v>
      </c>
    </row>
    <row r="401" spans="1:3" ht="15.75" customHeight="1" thickBot="1" x14ac:dyDescent="0.35">
      <c r="A401" s="190">
        <v>49041</v>
      </c>
      <c r="B401" s="191" t="s">
        <v>156</v>
      </c>
      <c r="C401" s="189" t="s">
        <v>157</v>
      </c>
    </row>
    <row r="402" spans="1:3" ht="15.75" customHeight="1" thickBot="1" x14ac:dyDescent="0.35">
      <c r="A402" s="190">
        <v>49055</v>
      </c>
      <c r="B402" s="191" t="s">
        <v>156</v>
      </c>
      <c r="C402" s="189" t="s">
        <v>159</v>
      </c>
    </row>
    <row r="403" spans="1:3" ht="15.75" customHeight="1" thickBot="1" x14ac:dyDescent="0.35">
      <c r="A403" s="190">
        <v>49065</v>
      </c>
      <c r="B403" s="191" t="s">
        <v>152</v>
      </c>
      <c r="C403" s="189" t="s">
        <v>160</v>
      </c>
    </row>
    <row r="404" spans="1:3" ht="15.75" customHeight="1" thickBot="1" x14ac:dyDescent="0.35">
      <c r="A404" s="190">
        <v>49103</v>
      </c>
      <c r="B404" s="191" t="s">
        <v>161</v>
      </c>
      <c r="C404" s="189" t="s">
        <v>162</v>
      </c>
    </row>
    <row r="405" spans="1:3" ht="15.75" customHeight="1" thickBot="1" x14ac:dyDescent="0.35">
      <c r="A405" s="190">
        <v>49194</v>
      </c>
      <c r="B405" s="191" t="s">
        <v>161</v>
      </c>
      <c r="C405" s="189" t="s">
        <v>163</v>
      </c>
    </row>
    <row r="406" spans="1:3" ht="15.75" customHeight="1" thickBot="1" x14ac:dyDescent="0.35">
      <c r="A406" s="190">
        <v>49229</v>
      </c>
      <c r="B406" s="191" t="s">
        <v>161</v>
      </c>
      <c r="C406" s="189" t="s">
        <v>194</v>
      </c>
    </row>
    <row r="407" spans="1:3" ht="15.75" customHeight="1" thickBot="1" x14ac:dyDescent="0.35">
      <c r="A407" s="190">
        <v>49250</v>
      </c>
      <c r="B407" s="191" t="s">
        <v>161</v>
      </c>
      <c r="C407" s="189" t="s">
        <v>165</v>
      </c>
    </row>
    <row r="408" spans="1:3" ht="15.75" customHeight="1" thickBot="1" x14ac:dyDescent="0.35">
      <c r="A408" s="190">
        <v>49263</v>
      </c>
      <c r="B408" s="191" t="s">
        <v>169</v>
      </c>
      <c r="C408" s="189" t="s">
        <v>166</v>
      </c>
    </row>
    <row r="409" spans="1:3" ht="15.75" customHeight="1" thickBot="1" x14ac:dyDescent="0.35">
      <c r="A409" s="190">
        <v>49303</v>
      </c>
      <c r="B409" s="191" t="s">
        <v>152</v>
      </c>
      <c r="C409" s="189" t="s">
        <v>167</v>
      </c>
    </row>
    <row r="410" spans="1:3" ht="15.75" customHeight="1" thickBot="1" x14ac:dyDescent="0.35">
      <c r="A410" s="193">
        <v>49310</v>
      </c>
      <c r="B410" s="194" t="s">
        <v>152</v>
      </c>
      <c r="C410" s="186" t="s">
        <v>153</v>
      </c>
    </row>
    <row r="411" spans="1:3" ht="15.75" customHeight="1" thickBot="1" x14ac:dyDescent="0.35">
      <c r="A411" s="183">
        <v>49345</v>
      </c>
      <c r="B411" s="184" t="s">
        <v>152</v>
      </c>
      <c r="C411" s="185" t="s">
        <v>154</v>
      </c>
    </row>
    <row r="412" spans="1:3" ht="15.75" customHeight="1" thickBot="1" x14ac:dyDescent="0.35">
      <c r="A412" s="183">
        <v>49346</v>
      </c>
      <c r="B412" s="184" t="s">
        <v>155</v>
      </c>
      <c r="C412" s="186" t="s">
        <v>154</v>
      </c>
    </row>
    <row r="413" spans="1:3" ht="15.75" customHeight="1" thickBot="1" x14ac:dyDescent="0.35">
      <c r="A413" s="183">
        <v>49391</v>
      </c>
      <c r="B413" s="184" t="s">
        <v>156</v>
      </c>
      <c r="C413" s="186" t="s">
        <v>157</v>
      </c>
    </row>
    <row r="414" spans="1:3" ht="15.75" customHeight="1" thickBot="1" x14ac:dyDescent="0.35">
      <c r="A414" s="183">
        <v>49420</v>
      </c>
      <c r="B414" s="184" t="s">
        <v>158</v>
      </c>
      <c r="C414" s="186" t="s">
        <v>159</v>
      </c>
    </row>
    <row r="415" spans="1:3" ht="15.75" customHeight="1" thickBot="1" x14ac:dyDescent="0.35">
      <c r="A415" s="183">
        <v>49430</v>
      </c>
      <c r="B415" s="184" t="s">
        <v>155</v>
      </c>
      <c r="C415" s="186" t="s">
        <v>160</v>
      </c>
    </row>
    <row r="416" spans="1:3" ht="15.75" customHeight="1" thickBot="1" x14ac:dyDescent="0.35">
      <c r="A416" s="183">
        <v>49453</v>
      </c>
      <c r="B416" s="184" t="s">
        <v>161</v>
      </c>
      <c r="C416" s="186" t="s">
        <v>162</v>
      </c>
    </row>
    <row r="417" spans="1:3" ht="15.75" customHeight="1" thickBot="1" x14ac:dyDescent="0.35">
      <c r="A417" s="183">
        <v>49559</v>
      </c>
      <c r="B417" s="184" t="s">
        <v>156</v>
      </c>
      <c r="C417" s="186" t="s">
        <v>163</v>
      </c>
    </row>
    <row r="418" spans="1:3" ht="15.75" customHeight="1" thickBot="1" x14ac:dyDescent="0.35">
      <c r="A418" s="183">
        <v>49594</v>
      </c>
      <c r="B418" s="184" t="s">
        <v>156</v>
      </c>
      <c r="C418" s="186" t="s">
        <v>195</v>
      </c>
    </row>
    <row r="419" spans="1:3" ht="15.75" customHeight="1" thickBot="1" x14ac:dyDescent="0.35">
      <c r="A419" s="183">
        <v>49615</v>
      </c>
      <c r="B419" s="184" t="s">
        <v>156</v>
      </c>
      <c r="C419" s="186" t="s">
        <v>165</v>
      </c>
    </row>
    <row r="420" spans="1:3" ht="15.75" customHeight="1" thickBot="1" x14ac:dyDescent="0.35">
      <c r="A420" s="183">
        <v>49628</v>
      </c>
      <c r="B420" s="184" t="s">
        <v>161</v>
      </c>
      <c r="C420" s="186" t="s">
        <v>166</v>
      </c>
    </row>
    <row r="421" spans="1:3" ht="15.75" customHeight="1" thickBot="1" x14ac:dyDescent="0.35">
      <c r="A421" s="183">
        <v>49668</v>
      </c>
      <c r="B421" s="184" t="s">
        <v>155</v>
      </c>
      <c r="C421" s="186" t="s">
        <v>167</v>
      </c>
    </row>
    <row r="422" spans="1:3" ht="15.75" customHeight="1" thickBot="1" x14ac:dyDescent="0.35">
      <c r="A422" s="187">
        <v>49675</v>
      </c>
      <c r="B422" s="188" t="s">
        <v>155</v>
      </c>
      <c r="C422" s="189" t="s">
        <v>153</v>
      </c>
    </row>
    <row r="423" spans="1:3" ht="15.75" customHeight="1" thickBot="1" x14ac:dyDescent="0.35">
      <c r="A423" s="190">
        <v>49730</v>
      </c>
      <c r="B423" s="191" t="s">
        <v>152</v>
      </c>
      <c r="C423" s="192" t="s">
        <v>154</v>
      </c>
    </row>
    <row r="424" spans="1:3" ht="15.75" customHeight="1" thickBot="1" x14ac:dyDescent="0.35">
      <c r="A424" s="190">
        <v>49731</v>
      </c>
      <c r="B424" s="191" t="s">
        <v>155</v>
      </c>
      <c r="C424" s="189" t="s">
        <v>154</v>
      </c>
    </row>
    <row r="425" spans="1:3" ht="15.75" customHeight="1" thickBot="1" x14ac:dyDescent="0.35">
      <c r="A425" s="190">
        <v>49776</v>
      </c>
      <c r="B425" s="191" t="s">
        <v>156</v>
      </c>
      <c r="C425" s="189" t="s">
        <v>157</v>
      </c>
    </row>
    <row r="426" spans="1:3" ht="15.75" customHeight="1" thickBot="1" x14ac:dyDescent="0.35">
      <c r="A426" s="190">
        <v>49786</v>
      </c>
      <c r="B426" s="191" t="s">
        <v>152</v>
      </c>
      <c r="C426" s="189" t="s">
        <v>159</v>
      </c>
    </row>
    <row r="427" spans="1:3" ht="15.75" customHeight="1" thickBot="1" x14ac:dyDescent="0.35">
      <c r="A427" s="190">
        <v>49796</v>
      </c>
      <c r="B427" s="191" t="s">
        <v>161</v>
      </c>
      <c r="C427" s="189" t="s">
        <v>160</v>
      </c>
    </row>
    <row r="428" spans="1:3" ht="15.75" customHeight="1" thickBot="1" x14ac:dyDescent="0.35">
      <c r="A428" s="190">
        <v>49838</v>
      </c>
      <c r="B428" s="191" t="s">
        <v>161</v>
      </c>
      <c r="C428" s="189" t="s">
        <v>162</v>
      </c>
    </row>
    <row r="429" spans="1:3" ht="15.75" customHeight="1" thickBot="1" x14ac:dyDescent="0.35">
      <c r="A429" s="190">
        <v>49925</v>
      </c>
      <c r="B429" s="191" t="s">
        <v>168</v>
      </c>
      <c r="C429" s="189" t="s">
        <v>163</v>
      </c>
    </row>
    <row r="430" spans="1:3" ht="15.75" customHeight="1" thickBot="1" x14ac:dyDescent="0.35">
      <c r="A430" s="190">
        <v>49960</v>
      </c>
      <c r="B430" s="191" t="s">
        <v>168</v>
      </c>
      <c r="C430" s="189" t="s">
        <v>195</v>
      </c>
    </row>
    <row r="431" spans="1:3" ht="15.75" customHeight="1" thickBot="1" x14ac:dyDescent="0.35">
      <c r="A431" s="190">
        <v>49981</v>
      </c>
      <c r="B431" s="191" t="s">
        <v>168</v>
      </c>
      <c r="C431" s="189" t="s">
        <v>165</v>
      </c>
    </row>
    <row r="432" spans="1:3" ht="15.75" customHeight="1" thickBot="1" x14ac:dyDescent="0.35">
      <c r="A432" s="190">
        <v>49994</v>
      </c>
      <c r="B432" s="191" t="s">
        <v>158</v>
      </c>
      <c r="C432" s="189" t="s">
        <v>166</v>
      </c>
    </row>
    <row r="433" spans="1:3" ht="15.75" customHeight="1" thickBot="1" x14ac:dyDescent="0.35">
      <c r="A433" s="190">
        <v>50034</v>
      </c>
      <c r="B433" s="191" t="s">
        <v>161</v>
      </c>
      <c r="C433" s="189" t="s">
        <v>167</v>
      </c>
    </row>
    <row r="434" spans="1:3" ht="15.75" customHeight="1" thickBot="1" x14ac:dyDescent="0.35">
      <c r="A434" s="193">
        <v>50041</v>
      </c>
      <c r="B434" s="194" t="s">
        <v>161</v>
      </c>
      <c r="C434" s="186" t="s">
        <v>153</v>
      </c>
    </row>
    <row r="435" spans="1:3" ht="15.75" customHeight="1" thickBot="1" x14ac:dyDescent="0.35">
      <c r="A435" s="183">
        <v>50087</v>
      </c>
      <c r="B435" s="184" t="s">
        <v>152</v>
      </c>
      <c r="C435" s="185" t="s">
        <v>154</v>
      </c>
    </row>
    <row r="436" spans="1:3" ht="15.75" customHeight="1" thickBot="1" x14ac:dyDescent="0.35">
      <c r="A436" s="183">
        <v>50088</v>
      </c>
      <c r="B436" s="184" t="s">
        <v>155</v>
      </c>
      <c r="C436" s="186" t="s">
        <v>154</v>
      </c>
    </row>
    <row r="437" spans="1:3" ht="15.75" customHeight="1" thickBot="1" x14ac:dyDescent="0.35">
      <c r="A437" s="183">
        <v>50133</v>
      </c>
      <c r="B437" s="184" t="s">
        <v>156</v>
      </c>
      <c r="C437" s="186" t="s">
        <v>157</v>
      </c>
    </row>
    <row r="438" spans="1:3" ht="15.75" customHeight="1" thickBot="1" x14ac:dyDescent="0.35">
      <c r="A438" s="183">
        <v>50151</v>
      </c>
      <c r="B438" s="184" t="s">
        <v>155</v>
      </c>
      <c r="C438" s="186" t="s">
        <v>159</v>
      </c>
    </row>
    <row r="439" spans="1:3" ht="15.75" customHeight="1" thickBot="1" x14ac:dyDescent="0.35">
      <c r="A439" s="183">
        <v>50161</v>
      </c>
      <c r="B439" s="184" t="s">
        <v>156</v>
      </c>
      <c r="C439" s="186" t="s">
        <v>160</v>
      </c>
    </row>
    <row r="440" spans="1:3" ht="15.75" customHeight="1" thickBot="1" x14ac:dyDescent="0.35">
      <c r="A440" s="183">
        <v>50195</v>
      </c>
      <c r="B440" s="184" t="s">
        <v>161</v>
      </c>
      <c r="C440" s="186" t="s">
        <v>162</v>
      </c>
    </row>
    <row r="441" spans="1:3" ht="15.75" customHeight="1" thickBot="1" x14ac:dyDescent="0.35">
      <c r="A441" s="183">
        <v>50290</v>
      </c>
      <c r="B441" s="184" t="s">
        <v>152</v>
      </c>
      <c r="C441" s="186" t="s">
        <v>163</v>
      </c>
    </row>
    <row r="442" spans="1:3" ht="15.75" customHeight="1" thickBot="1" x14ac:dyDescent="0.35">
      <c r="A442" s="183">
        <v>50325</v>
      </c>
      <c r="B442" s="184" t="s">
        <v>152</v>
      </c>
      <c r="C442" s="186" t="s">
        <v>196</v>
      </c>
    </row>
    <row r="443" spans="1:3" ht="15.75" customHeight="1" thickBot="1" x14ac:dyDescent="0.35">
      <c r="A443" s="183">
        <v>50346</v>
      </c>
      <c r="B443" s="184" t="s">
        <v>152</v>
      </c>
      <c r="C443" s="186" t="s">
        <v>165</v>
      </c>
    </row>
    <row r="444" spans="1:3" ht="15.75" customHeight="1" thickBot="1" x14ac:dyDescent="0.35">
      <c r="A444" s="183">
        <v>50359</v>
      </c>
      <c r="B444" s="184" t="s">
        <v>168</v>
      </c>
      <c r="C444" s="186" t="s">
        <v>166</v>
      </c>
    </row>
    <row r="445" spans="1:3" ht="15.75" customHeight="1" thickBot="1" x14ac:dyDescent="0.35">
      <c r="A445" s="183">
        <v>50399</v>
      </c>
      <c r="B445" s="184" t="s">
        <v>156</v>
      </c>
      <c r="C445" s="186" t="s">
        <v>167</v>
      </c>
    </row>
    <row r="446" spans="1:3" ht="15.75" customHeight="1" thickBot="1" x14ac:dyDescent="0.35">
      <c r="A446" s="187">
        <v>50406</v>
      </c>
      <c r="B446" s="188" t="s">
        <v>156</v>
      </c>
      <c r="C446" s="189" t="s">
        <v>153</v>
      </c>
    </row>
    <row r="447" spans="1:3" ht="15.75" customHeight="1" thickBot="1" x14ac:dyDescent="0.35">
      <c r="A447" s="190">
        <v>50472</v>
      </c>
      <c r="B447" s="191" t="s">
        <v>152</v>
      </c>
      <c r="C447" s="192" t="s">
        <v>154</v>
      </c>
    </row>
    <row r="448" spans="1:3" ht="15.75" customHeight="1" thickBot="1" x14ac:dyDescent="0.35">
      <c r="A448" s="190">
        <v>50473</v>
      </c>
      <c r="B448" s="191" t="s">
        <v>155</v>
      </c>
      <c r="C448" s="189" t="s">
        <v>154</v>
      </c>
    </row>
    <row r="449" spans="1:3" ht="15.75" customHeight="1" thickBot="1" x14ac:dyDescent="0.35">
      <c r="A449" s="190">
        <v>50516</v>
      </c>
      <c r="B449" s="191" t="s">
        <v>169</v>
      </c>
      <c r="C449" s="189" t="s">
        <v>159</v>
      </c>
    </row>
    <row r="450" spans="1:3" ht="15.75" customHeight="1" thickBot="1" x14ac:dyDescent="0.35">
      <c r="A450" s="190">
        <v>50518</v>
      </c>
      <c r="B450" s="191" t="s">
        <v>156</v>
      </c>
      <c r="C450" s="189" t="s">
        <v>157</v>
      </c>
    </row>
    <row r="451" spans="1:3" ht="15.75" customHeight="1" thickBot="1" x14ac:dyDescent="0.35">
      <c r="A451" s="190">
        <v>50526</v>
      </c>
      <c r="B451" s="191" t="s">
        <v>158</v>
      </c>
      <c r="C451" s="189" t="s">
        <v>160</v>
      </c>
    </row>
    <row r="452" spans="1:3" ht="15.75" customHeight="1" thickBot="1" x14ac:dyDescent="0.35">
      <c r="A452" s="190">
        <v>50580</v>
      </c>
      <c r="B452" s="191" t="s">
        <v>161</v>
      </c>
      <c r="C452" s="189" t="s">
        <v>162</v>
      </c>
    </row>
    <row r="453" spans="1:3" ht="15.75" customHeight="1" thickBot="1" x14ac:dyDescent="0.35">
      <c r="A453" s="190">
        <v>50655</v>
      </c>
      <c r="B453" s="191" t="s">
        <v>155</v>
      </c>
      <c r="C453" s="189" t="s">
        <v>163</v>
      </c>
    </row>
    <row r="454" spans="1:3" ht="15.75" customHeight="1" thickBot="1" x14ac:dyDescent="0.35">
      <c r="A454" s="190">
        <v>50690</v>
      </c>
      <c r="B454" s="191" t="s">
        <v>155</v>
      </c>
      <c r="C454" s="189" t="s">
        <v>197</v>
      </c>
    </row>
    <row r="455" spans="1:3" ht="15.75" customHeight="1" thickBot="1" x14ac:dyDescent="0.35">
      <c r="A455" s="190">
        <v>50711</v>
      </c>
      <c r="B455" s="191" t="s">
        <v>155</v>
      </c>
      <c r="C455" s="189" t="s">
        <v>165</v>
      </c>
    </row>
    <row r="456" spans="1:3" ht="15.75" customHeight="1" thickBot="1" x14ac:dyDescent="0.35">
      <c r="A456" s="190">
        <v>50724</v>
      </c>
      <c r="B456" s="191" t="s">
        <v>152</v>
      </c>
      <c r="C456" s="189" t="s">
        <v>166</v>
      </c>
    </row>
    <row r="457" spans="1:3" ht="15.75" customHeight="1" thickBot="1" x14ac:dyDescent="0.35">
      <c r="A457" s="190">
        <v>50764</v>
      </c>
      <c r="B457" s="191" t="s">
        <v>158</v>
      </c>
      <c r="C457" s="189" t="s">
        <v>167</v>
      </c>
    </row>
    <row r="458" spans="1:3" ht="15.75" customHeight="1" thickBot="1" x14ac:dyDescent="0.35">
      <c r="A458" s="193">
        <v>50771</v>
      </c>
      <c r="B458" s="194" t="s">
        <v>158</v>
      </c>
      <c r="C458" s="186" t="s">
        <v>153</v>
      </c>
    </row>
    <row r="459" spans="1:3" ht="15.75" customHeight="1" thickBot="1" x14ac:dyDescent="0.35">
      <c r="A459" s="183">
        <v>50822</v>
      </c>
      <c r="B459" s="184" t="s">
        <v>152</v>
      </c>
      <c r="C459" s="185" t="s">
        <v>154</v>
      </c>
    </row>
    <row r="460" spans="1:3" ht="15.75" customHeight="1" thickBot="1" x14ac:dyDescent="0.35">
      <c r="A460" s="183">
        <v>50823</v>
      </c>
      <c r="B460" s="184" t="s">
        <v>155</v>
      </c>
      <c r="C460" s="186" t="s">
        <v>154</v>
      </c>
    </row>
    <row r="461" spans="1:3" ht="15.75" customHeight="1" thickBot="1" x14ac:dyDescent="0.35">
      <c r="A461" s="183">
        <v>50868</v>
      </c>
      <c r="B461" s="184" t="s">
        <v>156</v>
      </c>
      <c r="C461" s="186" t="s">
        <v>157</v>
      </c>
    </row>
    <row r="462" spans="1:3" ht="15.75" customHeight="1" thickBot="1" x14ac:dyDescent="0.35">
      <c r="A462" s="183">
        <v>50881</v>
      </c>
      <c r="B462" s="184" t="s">
        <v>161</v>
      </c>
      <c r="C462" s="186" t="s">
        <v>159</v>
      </c>
    </row>
    <row r="463" spans="1:3" ht="15.75" customHeight="1" thickBot="1" x14ac:dyDescent="0.35">
      <c r="A463" s="183">
        <v>50891</v>
      </c>
      <c r="B463" s="184" t="s">
        <v>168</v>
      </c>
      <c r="C463" s="186" t="s">
        <v>160</v>
      </c>
    </row>
    <row r="464" spans="1:3" ht="15.75" customHeight="1" thickBot="1" x14ac:dyDescent="0.35">
      <c r="A464" s="183">
        <v>50930</v>
      </c>
      <c r="B464" s="184" t="s">
        <v>161</v>
      </c>
      <c r="C464" s="186" t="s">
        <v>162</v>
      </c>
    </row>
    <row r="465" spans="1:3" ht="15.75" customHeight="1" thickBot="1" x14ac:dyDescent="0.35">
      <c r="A465" s="183">
        <v>51020</v>
      </c>
      <c r="B465" s="184" t="s">
        <v>169</v>
      </c>
      <c r="C465" s="186" t="s">
        <v>163</v>
      </c>
    </row>
    <row r="466" spans="1:3" ht="15.75" customHeight="1" thickBot="1" x14ac:dyDescent="0.35">
      <c r="A466" s="183">
        <v>51055</v>
      </c>
      <c r="B466" s="184" t="s">
        <v>169</v>
      </c>
      <c r="C466" s="186" t="s">
        <v>198</v>
      </c>
    </row>
    <row r="467" spans="1:3" ht="15.75" customHeight="1" thickBot="1" x14ac:dyDescent="0.35">
      <c r="A467" s="183">
        <v>51076</v>
      </c>
      <c r="B467" s="184" t="s">
        <v>169</v>
      </c>
      <c r="C467" s="186" t="s">
        <v>165</v>
      </c>
    </row>
    <row r="468" spans="1:3" ht="15.75" customHeight="1" thickBot="1" x14ac:dyDescent="0.35">
      <c r="A468" s="183">
        <v>51089</v>
      </c>
      <c r="B468" s="184" t="s">
        <v>155</v>
      </c>
      <c r="C468" s="186" t="s">
        <v>166</v>
      </c>
    </row>
    <row r="469" spans="1:3" ht="15.75" customHeight="1" thickBot="1" x14ac:dyDescent="0.35">
      <c r="A469" s="183">
        <v>51129</v>
      </c>
      <c r="B469" s="184" t="s">
        <v>168</v>
      </c>
      <c r="C469" s="186" t="s">
        <v>167</v>
      </c>
    </row>
    <row r="470" spans="1:3" ht="15.75" customHeight="1" thickBot="1" x14ac:dyDescent="0.35">
      <c r="A470" s="187">
        <v>51136</v>
      </c>
      <c r="B470" s="188" t="s">
        <v>168</v>
      </c>
      <c r="C470" s="189" t="s">
        <v>153</v>
      </c>
    </row>
    <row r="471" spans="1:3" ht="15.75" customHeight="1" thickBot="1" x14ac:dyDescent="0.35">
      <c r="A471" s="190">
        <v>51179</v>
      </c>
      <c r="B471" s="191" t="s">
        <v>152</v>
      </c>
      <c r="C471" s="192" t="s">
        <v>154</v>
      </c>
    </row>
    <row r="472" spans="1:3" ht="15.75" customHeight="1" thickBot="1" x14ac:dyDescent="0.35">
      <c r="A472" s="190">
        <v>51180</v>
      </c>
      <c r="B472" s="191" t="s">
        <v>155</v>
      </c>
      <c r="C472" s="189" t="s">
        <v>154</v>
      </c>
    </row>
    <row r="473" spans="1:3" ht="15.75" customHeight="1" thickBot="1" x14ac:dyDescent="0.35">
      <c r="A473" s="190">
        <v>51225</v>
      </c>
      <c r="B473" s="191" t="s">
        <v>156</v>
      </c>
      <c r="C473" s="189" t="s">
        <v>157</v>
      </c>
    </row>
    <row r="474" spans="1:3" ht="15.75" customHeight="1" thickBot="1" x14ac:dyDescent="0.35">
      <c r="A474" s="190">
        <v>51247</v>
      </c>
      <c r="B474" s="191" t="s">
        <v>158</v>
      </c>
      <c r="C474" s="189" t="s">
        <v>159</v>
      </c>
    </row>
    <row r="475" spans="1:3" ht="15.75" customHeight="1" thickBot="1" x14ac:dyDescent="0.35">
      <c r="A475" s="190">
        <v>51257</v>
      </c>
      <c r="B475" s="191" t="s">
        <v>155</v>
      </c>
      <c r="C475" s="189" t="s">
        <v>160</v>
      </c>
    </row>
    <row r="476" spans="1:3" ht="15.75" customHeight="1" thickBot="1" x14ac:dyDescent="0.35">
      <c r="A476" s="190">
        <v>51287</v>
      </c>
      <c r="B476" s="191" t="s">
        <v>161</v>
      </c>
      <c r="C476" s="189" t="s">
        <v>162</v>
      </c>
    </row>
    <row r="477" spans="1:3" ht="15.75" customHeight="1" thickBot="1" x14ac:dyDescent="0.35">
      <c r="A477" s="190">
        <v>51386</v>
      </c>
      <c r="B477" s="191" t="s">
        <v>156</v>
      </c>
      <c r="C477" s="189" t="s">
        <v>163</v>
      </c>
    </row>
    <row r="478" spans="1:3" ht="15.75" customHeight="1" thickBot="1" x14ac:dyDescent="0.35">
      <c r="A478" s="190">
        <v>51421</v>
      </c>
      <c r="B478" s="191" t="s">
        <v>156</v>
      </c>
      <c r="C478" s="189" t="s">
        <v>198</v>
      </c>
    </row>
    <row r="479" spans="1:3" ht="15.75" customHeight="1" thickBot="1" x14ac:dyDescent="0.35">
      <c r="A479" s="190">
        <v>51442</v>
      </c>
      <c r="B479" s="191" t="s">
        <v>156</v>
      </c>
      <c r="C479" s="189" t="s">
        <v>165</v>
      </c>
    </row>
    <row r="480" spans="1:3" ht="15.75" customHeight="1" thickBot="1" x14ac:dyDescent="0.35">
      <c r="A480" s="190">
        <v>51455</v>
      </c>
      <c r="B480" s="191" t="s">
        <v>161</v>
      </c>
      <c r="C480" s="189" t="s">
        <v>166</v>
      </c>
    </row>
    <row r="481" spans="1:3" ht="15.75" customHeight="1" thickBot="1" x14ac:dyDescent="0.35">
      <c r="A481" s="190">
        <v>51495</v>
      </c>
      <c r="B481" s="191" t="s">
        <v>155</v>
      </c>
      <c r="C481" s="189" t="s">
        <v>167</v>
      </c>
    </row>
    <row r="482" spans="1:3" ht="15.75" customHeight="1" thickBot="1" x14ac:dyDescent="0.35">
      <c r="A482" s="193">
        <v>51502</v>
      </c>
      <c r="B482" s="194" t="s">
        <v>155</v>
      </c>
      <c r="C482" s="186" t="s">
        <v>153</v>
      </c>
    </row>
    <row r="483" spans="1:3" ht="15.75" customHeight="1" thickBot="1" x14ac:dyDescent="0.35">
      <c r="A483" s="183">
        <v>51564</v>
      </c>
      <c r="B483" s="184" t="s">
        <v>152</v>
      </c>
      <c r="C483" s="185" t="s">
        <v>154</v>
      </c>
    </row>
    <row r="484" spans="1:3" ht="15.75" customHeight="1" thickBot="1" x14ac:dyDescent="0.35">
      <c r="A484" s="183">
        <v>51565</v>
      </c>
      <c r="B484" s="184" t="s">
        <v>155</v>
      </c>
      <c r="C484" s="186" t="s">
        <v>154</v>
      </c>
    </row>
    <row r="485" spans="1:3" ht="15.75" customHeight="1" thickBot="1" x14ac:dyDescent="0.35">
      <c r="A485" s="183">
        <v>51610</v>
      </c>
      <c r="B485" s="184" t="s">
        <v>156</v>
      </c>
      <c r="C485" s="186" t="s">
        <v>157</v>
      </c>
    </row>
    <row r="486" spans="1:3" ht="15.75" customHeight="1" thickBot="1" x14ac:dyDescent="0.35">
      <c r="A486" s="183">
        <v>51612</v>
      </c>
      <c r="B486" s="184" t="s">
        <v>168</v>
      </c>
      <c r="C486" s="186" t="s">
        <v>159</v>
      </c>
    </row>
    <row r="487" spans="1:3" ht="15.75" customHeight="1" thickBot="1" x14ac:dyDescent="0.35">
      <c r="A487" s="183">
        <v>51622</v>
      </c>
      <c r="B487" s="184" t="s">
        <v>169</v>
      </c>
      <c r="C487" s="186" t="s">
        <v>160</v>
      </c>
    </row>
    <row r="488" spans="1:3" ht="15.75" customHeight="1" thickBot="1" x14ac:dyDescent="0.35">
      <c r="A488" s="183">
        <v>51672</v>
      </c>
      <c r="B488" s="184" t="s">
        <v>161</v>
      </c>
      <c r="C488" s="186" t="s">
        <v>162</v>
      </c>
    </row>
    <row r="489" spans="1:3" ht="15.75" customHeight="1" thickBot="1" x14ac:dyDescent="0.35">
      <c r="A489" s="183">
        <v>51751</v>
      </c>
      <c r="B489" s="184" t="s">
        <v>158</v>
      </c>
      <c r="C489" s="186" t="s">
        <v>163</v>
      </c>
    </row>
    <row r="490" spans="1:3" ht="15.75" customHeight="1" thickBot="1" x14ac:dyDescent="0.35">
      <c r="A490" s="183">
        <v>51786</v>
      </c>
      <c r="B490" s="184" t="s">
        <v>158</v>
      </c>
      <c r="C490" s="186" t="s">
        <v>199</v>
      </c>
    </row>
    <row r="491" spans="1:3" ht="15.75" customHeight="1" thickBot="1" x14ac:dyDescent="0.35">
      <c r="A491" s="183">
        <v>51807</v>
      </c>
      <c r="B491" s="184" t="s">
        <v>158</v>
      </c>
      <c r="C491" s="186" t="s">
        <v>165</v>
      </c>
    </row>
    <row r="492" spans="1:3" ht="15.75" customHeight="1" thickBot="1" x14ac:dyDescent="0.35">
      <c r="A492" s="183">
        <v>51820</v>
      </c>
      <c r="B492" s="184" t="s">
        <v>156</v>
      </c>
      <c r="C492" s="186" t="s">
        <v>166</v>
      </c>
    </row>
    <row r="493" spans="1:3" ht="15.75" customHeight="1" thickBot="1" x14ac:dyDescent="0.35">
      <c r="A493" s="183">
        <v>51860</v>
      </c>
      <c r="B493" s="184" t="s">
        <v>169</v>
      </c>
      <c r="C493" s="186" t="s">
        <v>167</v>
      </c>
    </row>
    <row r="494" spans="1:3" ht="15.75" customHeight="1" thickBot="1" x14ac:dyDescent="0.35">
      <c r="A494" s="187">
        <v>51867</v>
      </c>
      <c r="B494" s="188" t="s">
        <v>169</v>
      </c>
      <c r="C494" s="189" t="s">
        <v>153</v>
      </c>
    </row>
    <row r="495" spans="1:3" ht="15.75" customHeight="1" thickBot="1" x14ac:dyDescent="0.35">
      <c r="A495" s="190">
        <v>51914</v>
      </c>
      <c r="B495" s="191" t="s">
        <v>152</v>
      </c>
      <c r="C495" s="192" t="s">
        <v>154</v>
      </c>
    </row>
    <row r="496" spans="1:3" ht="15.75" customHeight="1" thickBot="1" x14ac:dyDescent="0.35">
      <c r="A496" s="190">
        <v>51915</v>
      </c>
      <c r="B496" s="191" t="s">
        <v>155</v>
      </c>
      <c r="C496" s="189" t="s">
        <v>154</v>
      </c>
    </row>
    <row r="497" spans="1:3" ht="15.75" customHeight="1" thickBot="1" x14ac:dyDescent="0.35">
      <c r="A497" s="190">
        <v>51960</v>
      </c>
      <c r="B497" s="191" t="s">
        <v>156</v>
      </c>
      <c r="C497" s="189" t="s">
        <v>157</v>
      </c>
    </row>
    <row r="498" spans="1:3" ht="15.75" customHeight="1" thickBot="1" x14ac:dyDescent="0.35">
      <c r="A498" s="190">
        <v>51977</v>
      </c>
      <c r="B498" s="191" t="s">
        <v>152</v>
      </c>
      <c r="C498" s="189" t="s">
        <v>159</v>
      </c>
    </row>
    <row r="499" spans="1:3" ht="15.75" customHeight="1" thickBot="1" x14ac:dyDescent="0.35">
      <c r="A499" s="190">
        <v>51987</v>
      </c>
      <c r="B499" s="191" t="s">
        <v>161</v>
      </c>
      <c r="C499" s="189" t="s">
        <v>160</v>
      </c>
    </row>
    <row r="500" spans="1:3" ht="15.75" customHeight="1" thickBot="1" x14ac:dyDescent="0.35">
      <c r="A500" s="190">
        <v>52022</v>
      </c>
      <c r="B500" s="191" t="s">
        <v>161</v>
      </c>
      <c r="C500" s="189" t="s">
        <v>162</v>
      </c>
    </row>
    <row r="501" spans="1:3" ht="15.75" customHeight="1" thickBot="1" x14ac:dyDescent="0.35">
      <c r="A501" s="190">
        <v>52116</v>
      </c>
      <c r="B501" s="191" t="s">
        <v>168</v>
      </c>
      <c r="C501" s="189" t="s">
        <v>163</v>
      </c>
    </row>
    <row r="502" spans="1:3" ht="15.75" customHeight="1" thickBot="1" x14ac:dyDescent="0.35">
      <c r="A502" s="190">
        <v>52151</v>
      </c>
      <c r="B502" s="191" t="s">
        <v>168</v>
      </c>
      <c r="C502" s="189" t="s">
        <v>200</v>
      </c>
    </row>
    <row r="503" spans="1:3" ht="15.75" customHeight="1" thickBot="1" x14ac:dyDescent="0.35">
      <c r="A503" s="190">
        <v>52172</v>
      </c>
      <c r="B503" s="191" t="s">
        <v>168</v>
      </c>
      <c r="C503" s="189" t="s">
        <v>165</v>
      </c>
    </row>
    <row r="504" spans="1:3" ht="15.75" customHeight="1" thickBot="1" x14ac:dyDescent="0.35">
      <c r="A504" s="190">
        <v>52185</v>
      </c>
      <c r="B504" s="191" t="s">
        <v>158</v>
      </c>
      <c r="C504" s="189" t="s">
        <v>166</v>
      </c>
    </row>
    <row r="505" spans="1:3" ht="15.75" customHeight="1" thickBot="1" x14ac:dyDescent="0.35">
      <c r="A505" s="190">
        <v>52225</v>
      </c>
      <c r="B505" s="191" t="s">
        <v>161</v>
      </c>
      <c r="C505" s="189" t="s">
        <v>167</v>
      </c>
    </row>
    <row r="506" spans="1:3" ht="15.75" customHeight="1" thickBot="1" x14ac:dyDescent="0.35">
      <c r="A506" s="193">
        <v>52232</v>
      </c>
      <c r="B506" s="194" t="s">
        <v>161</v>
      </c>
      <c r="C506" s="186" t="s">
        <v>153</v>
      </c>
    </row>
    <row r="507" spans="1:3" ht="15.75" customHeight="1" thickBot="1" x14ac:dyDescent="0.35">
      <c r="A507" s="183">
        <v>52271</v>
      </c>
      <c r="B507" s="184" t="s">
        <v>152</v>
      </c>
      <c r="C507" s="185" t="s">
        <v>154</v>
      </c>
    </row>
    <row r="508" spans="1:3" ht="15.75" customHeight="1" thickBot="1" x14ac:dyDescent="0.35">
      <c r="A508" s="183">
        <v>52272</v>
      </c>
      <c r="B508" s="184" t="s">
        <v>155</v>
      </c>
      <c r="C508" s="186" t="s">
        <v>154</v>
      </c>
    </row>
    <row r="509" spans="1:3" ht="15.75" customHeight="1" thickBot="1" x14ac:dyDescent="0.35">
      <c r="A509" s="183">
        <v>52317</v>
      </c>
      <c r="B509" s="184" t="s">
        <v>156</v>
      </c>
      <c r="C509" s="186" t="s">
        <v>157</v>
      </c>
    </row>
    <row r="510" spans="1:3" ht="15.75" customHeight="1" thickBot="1" x14ac:dyDescent="0.35">
      <c r="A510" s="183">
        <v>52342</v>
      </c>
      <c r="B510" s="184" t="s">
        <v>155</v>
      </c>
      <c r="C510" s="186" t="s">
        <v>159</v>
      </c>
    </row>
    <row r="511" spans="1:3" ht="15.75" customHeight="1" thickBot="1" x14ac:dyDescent="0.35">
      <c r="A511" s="183">
        <v>52352</v>
      </c>
      <c r="B511" s="184" t="s">
        <v>156</v>
      </c>
      <c r="C511" s="186" t="s">
        <v>160</v>
      </c>
    </row>
    <row r="512" spans="1:3" ht="15.75" customHeight="1" thickBot="1" x14ac:dyDescent="0.35">
      <c r="A512" s="183">
        <v>52379</v>
      </c>
      <c r="B512" s="184" t="s">
        <v>161</v>
      </c>
      <c r="C512" s="186" t="s">
        <v>162</v>
      </c>
    </row>
    <row r="513" spans="1:3" ht="15.75" customHeight="1" thickBot="1" x14ac:dyDescent="0.35">
      <c r="A513" s="183">
        <v>52481</v>
      </c>
      <c r="B513" s="184" t="s">
        <v>152</v>
      </c>
      <c r="C513" s="186" t="s">
        <v>163</v>
      </c>
    </row>
    <row r="514" spans="1:3" ht="15.75" customHeight="1" thickBot="1" x14ac:dyDescent="0.35">
      <c r="A514" s="183">
        <v>52516</v>
      </c>
      <c r="B514" s="184" t="s">
        <v>152</v>
      </c>
      <c r="C514" s="186" t="s">
        <v>201</v>
      </c>
    </row>
    <row r="515" spans="1:3" ht="15.75" customHeight="1" thickBot="1" x14ac:dyDescent="0.35">
      <c r="A515" s="183">
        <v>52537</v>
      </c>
      <c r="B515" s="184" t="s">
        <v>152</v>
      </c>
      <c r="C515" s="186" t="s">
        <v>165</v>
      </c>
    </row>
    <row r="516" spans="1:3" ht="15.75" customHeight="1" thickBot="1" x14ac:dyDescent="0.35">
      <c r="A516" s="183">
        <v>52550</v>
      </c>
      <c r="B516" s="184" t="s">
        <v>168</v>
      </c>
      <c r="C516" s="186" t="s">
        <v>166</v>
      </c>
    </row>
    <row r="517" spans="1:3" ht="15.75" customHeight="1" thickBot="1" x14ac:dyDescent="0.35">
      <c r="A517" s="183">
        <v>52590</v>
      </c>
      <c r="B517" s="184" t="s">
        <v>156</v>
      </c>
      <c r="C517" s="186" t="s">
        <v>167</v>
      </c>
    </row>
    <row r="518" spans="1:3" ht="15.75" customHeight="1" thickBot="1" x14ac:dyDescent="0.35">
      <c r="A518" s="187">
        <v>52597</v>
      </c>
      <c r="B518" s="188" t="s">
        <v>156</v>
      </c>
      <c r="C518" s="189" t="s">
        <v>153</v>
      </c>
    </row>
    <row r="519" spans="1:3" ht="15.75" customHeight="1" thickBot="1" x14ac:dyDescent="0.35">
      <c r="A519" s="190">
        <v>52656</v>
      </c>
      <c r="B519" s="191" t="s">
        <v>152</v>
      </c>
      <c r="C519" s="192" t="s">
        <v>154</v>
      </c>
    </row>
    <row r="520" spans="1:3" ht="15.75" customHeight="1" thickBot="1" x14ac:dyDescent="0.35">
      <c r="A520" s="190">
        <v>52657</v>
      </c>
      <c r="B520" s="191" t="s">
        <v>155</v>
      </c>
      <c r="C520" s="189" t="s">
        <v>154</v>
      </c>
    </row>
    <row r="521" spans="1:3" ht="15.75" customHeight="1" thickBot="1" x14ac:dyDescent="0.35">
      <c r="A521" s="190">
        <v>52702</v>
      </c>
      <c r="B521" s="191" t="s">
        <v>156</v>
      </c>
      <c r="C521" s="189" t="s">
        <v>157</v>
      </c>
    </row>
    <row r="522" spans="1:3" ht="15.75" customHeight="1" thickBot="1" x14ac:dyDescent="0.35">
      <c r="A522" s="190">
        <v>52708</v>
      </c>
      <c r="B522" s="191" t="s">
        <v>161</v>
      </c>
      <c r="C522" s="189" t="s">
        <v>159</v>
      </c>
    </row>
    <row r="523" spans="1:3" ht="15.75" customHeight="1" thickBot="1" x14ac:dyDescent="0.35">
      <c r="A523" s="190">
        <v>52718</v>
      </c>
      <c r="B523" s="191" t="s">
        <v>168</v>
      </c>
      <c r="C523" s="189" t="s">
        <v>160</v>
      </c>
    </row>
    <row r="524" spans="1:3" ht="15.75" customHeight="1" thickBot="1" x14ac:dyDescent="0.35">
      <c r="A524" s="190">
        <v>52764</v>
      </c>
      <c r="B524" s="191" t="s">
        <v>161</v>
      </c>
      <c r="C524" s="189" t="s">
        <v>162</v>
      </c>
    </row>
    <row r="525" spans="1:3" ht="15.75" customHeight="1" thickBot="1" x14ac:dyDescent="0.35">
      <c r="A525" s="190">
        <v>52847</v>
      </c>
      <c r="B525" s="191" t="s">
        <v>169</v>
      </c>
      <c r="C525" s="189" t="s">
        <v>163</v>
      </c>
    </row>
    <row r="526" spans="1:3" ht="15.75" customHeight="1" thickBot="1" x14ac:dyDescent="0.35">
      <c r="A526" s="190">
        <v>52882</v>
      </c>
      <c r="B526" s="191" t="s">
        <v>169</v>
      </c>
      <c r="C526" s="189" t="s">
        <v>201</v>
      </c>
    </row>
    <row r="527" spans="1:3" ht="15.75" customHeight="1" thickBot="1" x14ac:dyDescent="0.35">
      <c r="A527" s="190">
        <v>52903</v>
      </c>
      <c r="B527" s="191" t="s">
        <v>169</v>
      </c>
      <c r="C527" s="189" t="s">
        <v>165</v>
      </c>
    </row>
    <row r="528" spans="1:3" ht="15.75" customHeight="1" thickBot="1" x14ac:dyDescent="0.35">
      <c r="A528" s="190">
        <v>52916</v>
      </c>
      <c r="B528" s="191" t="s">
        <v>155</v>
      </c>
      <c r="C528" s="189" t="s">
        <v>166</v>
      </c>
    </row>
    <row r="529" spans="1:3" ht="15.75" customHeight="1" thickBot="1" x14ac:dyDescent="0.35">
      <c r="A529" s="187">
        <v>52956</v>
      </c>
      <c r="B529" s="188" t="s">
        <v>168</v>
      </c>
      <c r="C529" s="189" t="s">
        <v>167</v>
      </c>
    </row>
    <row r="530" spans="1:3" ht="15.75" customHeight="1" thickBot="1" x14ac:dyDescent="0.35">
      <c r="A530" s="193">
        <v>52963</v>
      </c>
      <c r="B530" s="194" t="s">
        <v>168</v>
      </c>
      <c r="C530" s="186" t="s">
        <v>153</v>
      </c>
    </row>
    <row r="531" spans="1:3" ht="15.75" customHeight="1" thickBot="1" x14ac:dyDescent="0.35">
      <c r="A531" s="183">
        <v>53013</v>
      </c>
      <c r="B531" s="184" t="s">
        <v>152</v>
      </c>
      <c r="C531" s="185" t="s">
        <v>154</v>
      </c>
    </row>
    <row r="532" spans="1:3" ht="15.75" customHeight="1" thickBot="1" x14ac:dyDescent="0.35">
      <c r="A532" s="183">
        <v>53014</v>
      </c>
      <c r="B532" s="184" t="s">
        <v>155</v>
      </c>
      <c r="C532" s="186" t="s">
        <v>154</v>
      </c>
    </row>
    <row r="533" spans="1:3" ht="15.75" customHeight="1" thickBot="1" x14ac:dyDescent="0.35">
      <c r="A533" s="183">
        <v>53059</v>
      </c>
      <c r="B533" s="184" t="s">
        <v>156</v>
      </c>
      <c r="C533" s="186" t="s">
        <v>157</v>
      </c>
    </row>
    <row r="534" spans="1:3" ht="15.75" customHeight="1" thickBot="1" x14ac:dyDescent="0.35">
      <c r="A534" s="183">
        <v>53073</v>
      </c>
      <c r="B534" s="184" t="s">
        <v>156</v>
      </c>
      <c r="C534" s="186" t="s">
        <v>159</v>
      </c>
    </row>
    <row r="535" spans="1:3" ht="15.75" customHeight="1" thickBot="1" x14ac:dyDescent="0.35">
      <c r="A535" s="183">
        <v>53083</v>
      </c>
      <c r="B535" s="184" t="s">
        <v>152</v>
      </c>
      <c r="C535" s="186" t="s">
        <v>160</v>
      </c>
    </row>
    <row r="536" spans="1:3" ht="15.75" customHeight="1" thickBot="1" x14ac:dyDescent="0.35">
      <c r="A536" s="183">
        <v>53121</v>
      </c>
      <c r="B536" s="184" t="s">
        <v>161</v>
      </c>
      <c r="C536" s="186" t="s">
        <v>162</v>
      </c>
    </row>
    <row r="537" spans="1:3" ht="15.75" customHeight="1" thickBot="1" x14ac:dyDescent="0.35">
      <c r="A537" s="183">
        <v>53212</v>
      </c>
      <c r="B537" s="184" t="s">
        <v>161</v>
      </c>
      <c r="C537" s="186" t="s">
        <v>163</v>
      </c>
    </row>
    <row r="538" spans="1:3" ht="15.75" customHeight="1" thickBot="1" x14ac:dyDescent="0.35">
      <c r="A538" s="183">
        <v>53247</v>
      </c>
      <c r="B538" s="184" t="s">
        <v>161</v>
      </c>
      <c r="C538" s="186" t="s">
        <v>202</v>
      </c>
    </row>
    <row r="539" spans="1:3" ht="15.75" customHeight="1" thickBot="1" x14ac:dyDescent="0.35">
      <c r="A539" s="183">
        <v>53268</v>
      </c>
      <c r="B539" s="184" t="s">
        <v>161</v>
      </c>
      <c r="C539" s="186" t="s">
        <v>165</v>
      </c>
    </row>
    <row r="540" spans="1:3" ht="15.75" customHeight="1" thickBot="1" x14ac:dyDescent="0.35">
      <c r="A540" s="183">
        <v>53281</v>
      </c>
      <c r="B540" s="184" t="s">
        <v>169</v>
      </c>
      <c r="C540" s="186" t="s">
        <v>166</v>
      </c>
    </row>
    <row r="541" spans="1:3" ht="15.75" customHeight="1" thickBot="1" x14ac:dyDescent="0.35">
      <c r="A541" s="183">
        <v>53321</v>
      </c>
      <c r="B541" s="184" t="s">
        <v>152</v>
      </c>
      <c r="C541" s="186" t="s">
        <v>167</v>
      </c>
    </row>
    <row r="542" spans="1:3" ht="15.75" customHeight="1" thickBot="1" x14ac:dyDescent="0.35">
      <c r="A542" s="187">
        <v>53328</v>
      </c>
      <c r="B542" s="188" t="s">
        <v>152</v>
      </c>
      <c r="C542" s="189" t="s">
        <v>153</v>
      </c>
    </row>
    <row r="543" spans="1:3" ht="15.75" customHeight="1" thickBot="1" x14ac:dyDescent="0.35">
      <c r="A543" s="190">
        <v>53363</v>
      </c>
      <c r="B543" s="191" t="s">
        <v>152</v>
      </c>
      <c r="C543" s="192" t="s">
        <v>154</v>
      </c>
    </row>
    <row r="544" spans="1:3" ht="15.75" customHeight="1" thickBot="1" x14ac:dyDescent="0.35">
      <c r="A544" s="190">
        <v>53364</v>
      </c>
      <c r="B544" s="191" t="s">
        <v>155</v>
      </c>
      <c r="C544" s="189" t="s">
        <v>154</v>
      </c>
    </row>
    <row r="545" spans="1:3" ht="15.75" customHeight="1" thickBot="1" x14ac:dyDescent="0.35">
      <c r="A545" s="190">
        <v>53409</v>
      </c>
      <c r="B545" s="191" t="s">
        <v>156</v>
      </c>
      <c r="C545" s="189" t="s">
        <v>157</v>
      </c>
    </row>
    <row r="546" spans="1:3" ht="15.75" customHeight="1" thickBot="1" x14ac:dyDescent="0.35">
      <c r="A546" s="190">
        <v>53438</v>
      </c>
      <c r="B546" s="191" t="s">
        <v>158</v>
      </c>
      <c r="C546" s="189" t="s">
        <v>159</v>
      </c>
    </row>
    <row r="547" spans="1:3" ht="15.75" customHeight="1" thickBot="1" x14ac:dyDescent="0.35">
      <c r="A547" s="190">
        <v>53448</v>
      </c>
      <c r="B547" s="191" t="s">
        <v>155</v>
      </c>
      <c r="C547" s="189" t="s">
        <v>160</v>
      </c>
    </row>
    <row r="548" spans="1:3" ht="15.75" customHeight="1" thickBot="1" x14ac:dyDescent="0.35">
      <c r="A548" s="190">
        <v>53471</v>
      </c>
      <c r="B548" s="191" t="s">
        <v>161</v>
      </c>
      <c r="C548" s="189" t="s">
        <v>162</v>
      </c>
    </row>
    <row r="549" spans="1:3" ht="15.75" customHeight="1" thickBot="1" x14ac:dyDescent="0.35">
      <c r="A549" s="190">
        <v>53577</v>
      </c>
      <c r="B549" s="191" t="s">
        <v>156</v>
      </c>
      <c r="C549" s="189" t="s">
        <v>163</v>
      </c>
    </row>
    <row r="550" spans="1:3" ht="15.75" customHeight="1" thickBot="1" x14ac:dyDescent="0.35">
      <c r="A550" s="190">
        <v>53612</v>
      </c>
      <c r="B550" s="191" t="s">
        <v>156</v>
      </c>
      <c r="C550" s="189" t="s">
        <v>203</v>
      </c>
    </row>
    <row r="551" spans="1:3" ht="15.75" customHeight="1" thickBot="1" x14ac:dyDescent="0.35">
      <c r="A551" s="190">
        <v>53633</v>
      </c>
      <c r="B551" s="191" t="s">
        <v>156</v>
      </c>
      <c r="C551" s="189" t="s">
        <v>165</v>
      </c>
    </row>
    <row r="552" spans="1:3" ht="15.75" customHeight="1" thickBot="1" x14ac:dyDescent="0.35">
      <c r="A552" s="190">
        <v>53646</v>
      </c>
      <c r="B552" s="191" t="s">
        <v>161</v>
      </c>
      <c r="C552" s="189" t="s">
        <v>166</v>
      </c>
    </row>
    <row r="553" spans="1:3" ht="15.75" customHeight="1" thickBot="1" x14ac:dyDescent="0.35">
      <c r="A553" s="190">
        <v>53686</v>
      </c>
      <c r="B553" s="191" t="s">
        <v>155</v>
      </c>
      <c r="C553" s="189" t="s">
        <v>167</v>
      </c>
    </row>
    <row r="554" spans="1:3" ht="15.75" customHeight="1" thickBot="1" x14ac:dyDescent="0.35">
      <c r="A554" s="193">
        <v>53693</v>
      </c>
      <c r="B554" s="194" t="s">
        <v>155</v>
      </c>
      <c r="C554" s="186" t="s">
        <v>153</v>
      </c>
    </row>
    <row r="555" spans="1:3" ht="15.75" customHeight="1" thickBot="1" x14ac:dyDescent="0.35">
      <c r="A555" s="183">
        <v>53748</v>
      </c>
      <c r="B555" s="184" t="s">
        <v>152</v>
      </c>
      <c r="C555" s="185" t="s">
        <v>154</v>
      </c>
    </row>
    <row r="556" spans="1:3" ht="15.75" customHeight="1" thickBot="1" x14ac:dyDescent="0.35">
      <c r="A556" s="183">
        <v>53749</v>
      </c>
      <c r="B556" s="184" t="s">
        <v>155</v>
      </c>
      <c r="C556" s="186" t="s">
        <v>154</v>
      </c>
    </row>
    <row r="557" spans="1:3" ht="15.75" customHeight="1" thickBot="1" x14ac:dyDescent="0.35">
      <c r="A557" s="183">
        <v>53794</v>
      </c>
      <c r="B557" s="184" t="s">
        <v>156</v>
      </c>
      <c r="C557" s="186" t="s">
        <v>157</v>
      </c>
    </row>
    <row r="558" spans="1:3" ht="15.75" customHeight="1" thickBot="1" x14ac:dyDescent="0.35">
      <c r="A558" s="183">
        <v>53803</v>
      </c>
      <c r="B558" s="184" t="s">
        <v>155</v>
      </c>
      <c r="C558" s="186" t="s">
        <v>159</v>
      </c>
    </row>
    <row r="559" spans="1:3" ht="15.75" customHeight="1" thickBot="1" x14ac:dyDescent="0.35">
      <c r="A559" s="183">
        <v>53813</v>
      </c>
      <c r="B559" s="184" t="s">
        <v>169</v>
      </c>
      <c r="C559" s="186" t="s">
        <v>160</v>
      </c>
    </row>
    <row r="560" spans="1:3" ht="15.75" customHeight="1" thickBot="1" x14ac:dyDescent="0.35">
      <c r="A560" s="183">
        <v>53856</v>
      </c>
      <c r="B560" s="184" t="s">
        <v>161</v>
      </c>
      <c r="C560" s="186" t="s">
        <v>162</v>
      </c>
    </row>
    <row r="561" spans="1:3" ht="15.75" customHeight="1" thickBot="1" x14ac:dyDescent="0.35">
      <c r="A561" s="183">
        <v>53942</v>
      </c>
      <c r="B561" s="184" t="s">
        <v>158</v>
      </c>
      <c r="C561" s="186" t="s">
        <v>163</v>
      </c>
    </row>
    <row r="562" spans="1:3" ht="15.75" customHeight="1" thickBot="1" x14ac:dyDescent="0.35">
      <c r="A562" s="183">
        <v>53977</v>
      </c>
      <c r="B562" s="184" t="s">
        <v>158</v>
      </c>
      <c r="C562" s="186" t="s">
        <v>204</v>
      </c>
    </row>
    <row r="563" spans="1:3" ht="15.75" customHeight="1" thickBot="1" x14ac:dyDescent="0.35">
      <c r="A563" s="183">
        <v>53998</v>
      </c>
      <c r="B563" s="184" t="s">
        <v>158</v>
      </c>
      <c r="C563" s="186" t="s">
        <v>165</v>
      </c>
    </row>
    <row r="564" spans="1:3" ht="15.75" customHeight="1" thickBot="1" x14ac:dyDescent="0.35">
      <c r="A564" s="183">
        <v>54011</v>
      </c>
      <c r="B564" s="184" t="s">
        <v>156</v>
      </c>
      <c r="C564" s="186" t="s">
        <v>166</v>
      </c>
    </row>
    <row r="565" spans="1:3" ht="15.75" customHeight="1" thickBot="1" x14ac:dyDescent="0.35">
      <c r="A565" s="183">
        <v>54051</v>
      </c>
      <c r="B565" s="184" t="s">
        <v>169</v>
      </c>
      <c r="C565" s="186" t="s">
        <v>167</v>
      </c>
    </row>
    <row r="566" spans="1:3" ht="15.75" customHeight="1" thickBot="1" x14ac:dyDescent="0.35">
      <c r="A566" s="187">
        <v>54058</v>
      </c>
      <c r="B566" s="188" t="s">
        <v>169</v>
      </c>
      <c r="C566" s="189" t="s">
        <v>153</v>
      </c>
    </row>
    <row r="567" spans="1:3" ht="15.75" customHeight="1" thickBot="1" x14ac:dyDescent="0.35">
      <c r="A567" s="190">
        <v>54105</v>
      </c>
      <c r="B567" s="191" t="s">
        <v>152</v>
      </c>
      <c r="C567" s="192" t="s">
        <v>154</v>
      </c>
    </row>
    <row r="568" spans="1:3" ht="15.75" customHeight="1" thickBot="1" x14ac:dyDescent="0.35">
      <c r="A568" s="190">
        <v>54106</v>
      </c>
      <c r="B568" s="191" t="s">
        <v>155</v>
      </c>
      <c r="C568" s="189" t="s">
        <v>154</v>
      </c>
    </row>
    <row r="569" spans="1:3" ht="15.75" customHeight="1" thickBot="1" x14ac:dyDescent="0.35">
      <c r="A569" s="190">
        <v>54151</v>
      </c>
      <c r="B569" s="191" t="s">
        <v>156</v>
      </c>
      <c r="C569" s="189" t="s">
        <v>157</v>
      </c>
    </row>
    <row r="570" spans="1:3" ht="15.75" customHeight="1" thickBot="1" x14ac:dyDescent="0.35">
      <c r="A570" s="190">
        <v>54169</v>
      </c>
      <c r="B570" s="191" t="s">
        <v>155</v>
      </c>
      <c r="C570" s="189" t="s">
        <v>159</v>
      </c>
    </row>
    <row r="571" spans="1:3" ht="15.75" customHeight="1" thickBot="1" x14ac:dyDescent="0.35">
      <c r="A571" s="190">
        <v>54179</v>
      </c>
      <c r="B571" s="191" t="s">
        <v>156</v>
      </c>
      <c r="C571" s="189" t="s">
        <v>160</v>
      </c>
    </row>
    <row r="572" spans="1:3" ht="15.75" customHeight="1" thickBot="1" x14ac:dyDescent="0.35">
      <c r="A572" s="190">
        <v>54213</v>
      </c>
      <c r="B572" s="191" t="s">
        <v>161</v>
      </c>
      <c r="C572" s="189" t="s">
        <v>162</v>
      </c>
    </row>
    <row r="573" spans="1:3" ht="15.75" customHeight="1" thickBot="1" x14ac:dyDescent="0.35">
      <c r="A573" s="190">
        <v>54308</v>
      </c>
      <c r="B573" s="191" t="s">
        <v>152</v>
      </c>
      <c r="C573" s="189" t="s">
        <v>163</v>
      </c>
    </row>
    <row r="574" spans="1:3" ht="15.75" customHeight="1" thickBot="1" x14ac:dyDescent="0.35">
      <c r="A574" s="190">
        <v>54343</v>
      </c>
      <c r="B574" s="191" t="s">
        <v>152</v>
      </c>
      <c r="C574" s="189" t="s">
        <v>204</v>
      </c>
    </row>
    <row r="575" spans="1:3" ht="15.75" customHeight="1" thickBot="1" x14ac:dyDescent="0.35">
      <c r="A575" s="190">
        <v>54364</v>
      </c>
      <c r="B575" s="191" t="s">
        <v>152</v>
      </c>
      <c r="C575" s="189" t="s">
        <v>165</v>
      </c>
    </row>
    <row r="576" spans="1:3" ht="15.75" customHeight="1" thickBot="1" x14ac:dyDescent="0.35">
      <c r="A576" s="190">
        <v>54377</v>
      </c>
      <c r="B576" s="191" t="s">
        <v>168</v>
      </c>
      <c r="C576" s="189" t="s">
        <v>166</v>
      </c>
    </row>
    <row r="577" spans="1:3" ht="15.75" customHeight="1" thickBot="1" x14ac:dyDescent="0.35">
      <c r="A577" s="190">
        <v>54417</v>
      </c>
      <c r="B577" s="191" t="s">
        <v>156</v>
      </c>
      <c r="C577" s="189" t="s">
        <v>167</v>
      </c>
    </row>
    <row r="578" spans="1:3" ht="15.75" customHeight="1" thickBot="1" x14ac:dyDescent="0.35">
      <c r="A578" s="193">
        <v>54424</v>
      </c>
      <c r="B578" s="194" t="s">
        <v>156</v>
      </c>
      <c r="C578" s="186" t="s">
        <v>153</v>
      </c>
    </row>
    <row r="579" spans="1:3" ht="15.75" customHeight="1" thickBot="1" x14ac:dyDescent="0.35">
      <c r="A579" s="183">
        <v>54483</v>
      </c>
      <c r="B579" s="184" t="s">
        <v>152</v>
      </c>
      <c r="C579" s="185" t="s">
        <v>154</v>
      </c>
    </row>
    <row r="580" spans="1:3" ht="15.75" customHeight="1" thickBot="1" x14ac:dyDescent="0.35">
      <c r="A580" s="183">
        <v>54484</v>
      </c>
      <c r="B580" s="184" t="s">
        <v>155</v>
      </c>
      <c r="C580" s="186" t="s">
        <v>154</v>
      </c>
    </row>
    <row r="581" spans="1:3" ht="15.75" customHeight="1" thickBot="1" x14ac:dyDescent="0.35">
      <c r="A581" s="183">
        <v>54529</v>
      </c>
      <c r="B581" s="184" t="s">
        <v>156</v>
      </c>
      <c r="C581" s="186" t="s">
        <v>157</v>
      </c>
    </row>
    <row r="582" spans="1:3" ht="15.75" customHeight="1" thickBot="1" x14ac:dyDescent="0.35">
      <c r="A582" s="183">
        <v>54534</v>
      </c>
      <c r="B582" s="184" t="s">
        <v>169</v>
      </c>
      <c r="C582" s="186" t="s">
        <v>159</v>
      </c>
    </row>
    <row r="583" spans="1:3" ht="15.75" customHeight="1" thickBot="1" x14ac:dyDescent="0.35">
      <c r="A583" s="183">
        <v>54544</v>
      </c>
      <c r="B583" s="184" t="s">
        <v>158</v>
      </c>
      <c r="C583" s="186" t="s">
        <v>160</v>
      </c>
    </row>
    <row r="584" spans="1:3" ht="15.75" customHeight="1" thickBot="1" x14ac:dyDescent="0.35">
      <c r="A584" s="183">
        <v>54591</v>
      </c>
      <c r="B584" s="184" t="s">
        <v>161</v>
      </c>
      <c r="C584" s="186" t="s">
        <v>162</v>
      </c>
    </row>
    <row r="585" spans="1:3" ht="15.75" customHeight="1" thickBot="1" x14ac:dyDescent="0.35">
      <c r="A585" s="183">
        <v>54673</v>
      </c>
      <c r="B585" s="184" t="s">
        <v>155</v>
      </c>
      <c r="C585" s="186" t="s">
        <v>163</v>
      </c>
    </row>
    <row r="586" spans="1:3" ht="15.75" customHeight="1" thickBot="1" x14ac:dyDescent="0.35">
      <c r="A586" s="183">
        <v>54708</v>
      </c>
      <c r="B586" s="184" t="s">
        <v>155</v>
      </c>
      <c r="C586" s="186" t="s">
        <v>205</v>
      </c>
    </row>
    <row r="587" spans="1:3" ht="15.75" customHeight="1" thickBot="1" x14ac:dyDescent="0.35">
      <c r="A587" s="183">
        <v>54729</v>
      </c>
      <c r="B587" s="184" t="s">
        <v>155</v>
      </c>
      <c r="C587" s="186" t="s">
        <v>165</v>
      </c>
    </row>
    <row r="588" spans="1:3" ht="15.75" customHeight="1" thickBot="1" x14ac:dyDescent="0.35">
      <c r="A588" s="183">
        <v>54742</v>
      </c>
      <c r="B588" s="184" t="s">
        <v>152</v>
      </c>
      <c r="C588" s="186" t="s">
        <v>166</v>
      </c>
    </row>
    <row r="589" spans="1:3" ht="15.75" customHeight="1" thickBot="1" x14ac:dyDescent="0.35">
      <c r="A589" s="183">
        <v>54782</v>
      </c>
      <c r="B589" s="184" t="s">
        <v>158</v>
      </c>
      <c r="C589" s="186" t="s">
        <v>167</v>
      </c>
    </row>
    <row r="590" spans="1:3" ht="15.75" customHeight="1" thickBot="1" x14ac:dyDescent="0.35">
      <c r="A590" s="187">
        <v>54789</v>
      </c>
      <c r="B590" s="188" t="s">
        <v>158</v>
      </c>
      <c r="C590" s="189" t="s">
        <v>153</v>
      </c>
    </row>
    <row r="591" spans="1:3" ht="15.75" customHeight="1" thickBot="1" x14ac:dyDescent="0.35">
      <c r="A591" s="190">
        <v>54840</v>
      </c>
      <c r="B591" s="191" t="s">
        <v>152</v>
      </c>
      <c r="C591" s="192" t="s">
        <v>154</v>
      </c>
    </row>
    <row r="592" spans="1:3" ht="15.75" customHeight="1" thickBot="1" x14ac:dyDescent="0.35">
      <c r="A592" s="190">
        <v>54841</v>
      </c>
      <c r="B592" s="191" t="s">
        <v>155</v>
      </c>
      <c r="C592" s="189" t="s">
        <v>154</v>
      </c>
    </row>
    <row r="593" spans="1:3" ht="15.75" customHeight="1" thickBot="1" x14ac:dyDescent="0.35">
      <c r="A593" s="190">
        <v>54886</v>
      </c>
      <c r="B593" s="191" t="s">
        <v>156</v>
      </c>
      <c r="C593" s="189" t="s">
        <v>157</v>
      </c>
    </row>
    <row r="594" spans="1:3" ht="15.75" customHeight="1" thickBot="1" x14ac:dyDescent="0.35">
      <c r="A594" s="190">
        <v>54899</v>
      </c>
      <c r="B594" s="191" t="s">
        <v>161</v>
      </c>
      <c r="C594" s="189" t="s">
        <v>159</v>
      </c>
    </row>
    <row r="595" spans="1:3" ht="15.75" customHeight="1" thickBot="1" x14ac:dyDescent="0.35">
      <c r="A595" s="190">
        <v>54909</v>
      </c>
      <c r="B595" s="191" t="s">
        <v>168</v>
      </c>
      <c r="C595" s="189" t="s">
        <v>160</v>
      </c>
    </row>
    <row r="596" spans="1:3" ht="15.75" customHeight="1" thickBot="1" x14ac:dyDescent="0.35">
      <c r="A596" s="190">
        <v>54948</v>
      </c>
      <c r="B596" s="191" t="s">
        <v>161</v>
      </c>
      <c r="C596" s="189" t="s">
        <v>162</v>
      </c>
    </row>
    <row r="597" spans="1:3" ht="15.75" customHeight="1" thickBot="1" x14ac:dyDescent="0.35">
      <c r="A597" s="190">
        <v>55038</v>
      </c>
      <c r="B597" s="191" t="s">
        <v>169</v>
      </c>
      <c r="C597" s="189" t="s">
        <v>163</v>
      </c>
    </row>
    <row r="598" spans="1:3" ht="15.75" customHeight="1" thickBot="1" x14ac:dyDescent="0.35">
      <c r="A598" s="190">
        <v>55073</v>
      </c>
      <c r="B598" s="191" t="s">
        <v>169</v>
      </c>
      <c r="C598" s="189" t="s">
        <v>206</v>
      </c>
    </row>
    <row r="599" spans="1:3" ht="15.75" customHeight="1" thickBot="1" x14ac:dyDescent="0.35">
      <c r="A599" s="190">
        <v>55094</v>
      </c>
      <c r="B599" s="191" t="s">
        <v>169</v>
      </c>
      <c r="C599" s="189" t="s">
        <v>165</v>
      </c>
    </row>
    <row r="600" spans="1:3" ht="15.75" customHeight="1" thickBot="1" x14ac:dyDescent="0.35">
      <c r="A600" s="190">
        <v>55107</v>
      </c>
      <c r="B600" s="191" t="s">
        <v>155</v>
      </c>
      <c r="C600" s="189" t="s">
        <v>166</v>
      </c>
    </row>
    <row r="601" spans="1:3" ht="15.75" customHeight="1" thickBot="1" x14ac:dyDescent="0.35">
      <c r="A601" s="190">
        <v>55147</v>
      </c>
      <c r="B601" s="191" t="s">
        <v>168</v>
      </c>
      <c r="C601" s="189" t="s">
        <v>167</v>
      </c>
    </row>
    <row r="602" spans="1:3" ht="15.75" customHeight="1" thickBot="1" x14ac:dyDescent="0.35">
      <c r="A602" s="193">
        <v>55154</v>
      </c>
      <c r="B602" s="194" t="s">
        <v>168</v>
      </c>
      <c r="C602" s="186" t="s">
        <v>153</v>
      </c>
    </row>
    <row r="603" spans="1:3" ht="15.75" customHeight="1" thickBot="1" x14ac:dyDescent="0.35">
      <c r="A603" s="183">
        <v>55197</v>
      </c>
      <c r="B603" s="184" t="s">
        <v>152</v>
      </c>
      <c r="C603" s="185" t="s">
        <v>154</v>
      </c>
    </row>
    <row r="604" spans="1:3" ht="15.75" customHeight="1" thickBot="1" x14ac:dyDescent="0.35">
      <c r="A604" s="183">
        <v>55198</v>
      </c>
      <c r="B604" s="184" t="s">
        <v>155</v>
      </c>
      <c r="C604" s="186" t="s">
        <v>154</v>
      </c>
    </row>
    <row r="605" spans="1:3" ht="15.75" customHeight="1" thickBot="1" x14ac:dyDescent="0.35">
      <c r="A605" s="183">
        <v>55243</v>
      </c>
      <c r="B605" s="184" t="s">
        <v>156</v>
      </c>
      <c r="C605" s="186" t="s">
        <v>157</v>
      </c>
    </row>
    <row r="606" spans="1:3" ht="15.75" customHeight="1" thickBot="1" x14ac:dyDescent="0.35">
      <c r="A606" s="183">
        <v>55264</v>
      </c>
      <c r="B606" s="184" t="s">
        <v>156</v>
      </c>
      <c r="C606" s="186" t="s">
        <v>159</v>
      </c>
    </row>
    <row r="607" spans="1:3" ht="15.75" customHeight="1" thickBot="1" x14ac:dyDescent="0.35">
      <c r="A607" s="183">
        <v>55274</v>
      </c>
      <c r="B607" s="184" t="s">
        <v>152</v>
      </c>
      <c r="C607" s="186" t="s">
        <v>160</v>
      </c>
    </row>
    <row r="608" spans="1:3" ht="15.75" customHeight="1" thickBot="1" x14ac:dyDescent="0.35">
      <c r="A608" s="183">
        <v>55305</v>
      </c>
      <c r="B608" s="184" t="s">
        <v>161</v>
      </c>
      <c r="C608" s="186" t="s">
        <v>162</v>
      </c>
    </row>
    <row r="609" spans="1:3" ht="15.75" customHeight="1" thickBot="1" x14ac:dyDescent="0.35">
      <c r="A609" s="183">
        <v>55403</v>
      </c>
      <c r="B609" s="184" t="s">
        <v>161</v>
      </c>
      <c r="C609" s="186" t="s">
        <v>163</v>
      </c>
    </row>
    <row r="610" spans="1:3" ht="15.75" customHeight="1" thickBot="1" x14ac:dyDescent="0.35">
      <c r="A610" s="183">
        <v>55438</v>
      </c>
      <c r="B610" s="184" t="s">
        <v>161</v>
      </c>
      <c r="C610" s="186" t="s">
        <v>207</v>
      </c>
    </row>
    <row r="611" spans="1:3" ht="15.75" customHeight="1" thickBot="1" x14ac:dyDescent="0.35">
      <c r="A611" s="183">
        <v>55459</v>
      </c>
      <c r="B611" s="184" t="s">
        <v>161</v>
      </c>
      <c r="C611" s="186" t="s">
        <v>165</v>
      </c>
    </row>
    <row r="612" spans="1:3" ht="15.75" customHeight="1" thickBot="1" x14ac:dyDescent="0.35">
      <c r="A612" s="183">
        <v>55472</v>
      </c>
      <c r="B612" s="184" t="s">
        <v>169</v>
      </c>
      <c r="C612" s="186" t="s">
        <v>166</v>
      </c>
    </row>
    <row r="613" spans="1:3" ht="15.75" customHeight="1" thickBot="1" x14ac:dyDescent="0.35">
      <c r="A613" s="183">
        <v>55512</v>
      </c>
      <c r="B613" s="184" t="s">
        <v>152</v>
      </c>
      <c r="C613" s="186" t="s">
        <v>167</v>
      </c>
    </row>
    <row r="614" spans="1:3" ht="15.75" customHeight="1" thickBot="1" x14ac:dyDescent="0.35">
      <c r="A614" s="187">
        <v>55519</v>
      </c>
      <c r="B614" s="188" t="s">
        <v>152</v>
      </c>
      <c r="C614" s="189" t="s">
        <v>153</v>
      </c>
    </row>
    <row r="615" spans="1:3" ht="15.75" customHeight="1" thickBot="1" x14ac:dyDescent="0.35">
      <c r="A615" s="190">
        <v>55582</v>
      </c>
      <c r="B615" s="191" t="s">
        <v>152</v>
      </c>
      <c r="C615" s="192" t="s">
        <v>154</v>
      </c>
    </row>
    <row r="616" spans="1:3" ht="15.75" customHeight="1" thickBot="1" x14ac:dyDescent="0.35">
      <c r="A616" s="190">
        <v>55583</v>
      </c>
      <c r="B616" s="191" t="s">
        <v>155</v>
      </c>
      <c r="C616" s="189" t="s">
        <v>154</v>
      </c>
    </row>
    <row r="617" spans="1:3" ht="15.75" customHeight="1" thickBot="1" x14ac:dyDescent="0.35">
      <c r="A617" s="190">
        <v>55628</v>
      </c>
      <c r="B617" s="191" t="s">
        <v>156</v>
      </c>
      <c r="C617" s="189" t="s">
        <v>157</v>
      </c>
    </row>
    <row r="618" spans="1:3" ht="15.75" customHeight="1" thickBot="1" x14ac:dyDescent="0.35">
      <c r="A618" s="190">
        <v>55630</v>
      </c>
      <c r="B618" s="191" t="s">
        <v>168</v>
      </c>
      <c r="C618" s="189" t="s">
        <v>159</v>
      </c>
    </row>
    <row r="619" spans="1:3" ht="15.75" customHeight="1" thickBot="1" x14ac:dyDescent="0.35">
      <c r="A619" s="190">
        <v>55640</v>
      </c>
      <c r="B619" s="191" t="s">
        <v>169</v>
      </c>
      <c r="C619" s="189" t="s">
        <v>160</v>
      </c>
    </row>
    <row r="620" spans="1:3" ht="15.75" customHeight="1" thickBot="1" x14ac:dyDescent="0.35">
      <c r="A620" s="190">
        <v>55690</v>
      </c>
      <c r="B620" s="191" t="s">
        <v>161</v>
      </c>
      <c r="C620" s="189" t="s">
        <v>162</v>
      </c>
    </row>
    <row r="621" spans="1:3" ht="15.75" customHeight="1" thickBot="1" x14ac:dyDescent="0.35">
      <c r="A621" s="190">
        <v>55769</v>
      </c>
      <c r="B621" s="191" t="s">
        <v>158</v>
      </c>
      <c r="C621" s="189" t="s">
        <v>163</v>
      </c>
    </row>
    <row r="622" spans="1:3" ht="15.75" customHeight="1" thickBot="1" x14ac:dyDescent="0.35">
      <c r="A622" s="190">
        <v>55804</v>
      </c>
      <c r="B622" s="191" t="s">
        <v>158</v>
      </c>
      <c r="C622" s="189" t="s">
        <v>207</v>
      </c>
    </row>
    <row r="623" spans="1:3" ht="15.75" customHeight="1" thickBot="1" x14ac:dyDescent="0.35">
      <c r="A623" s="190">
        <v>55825</v>
      </c>
      <c r="B623" s="191" t="s">
        <v>158</v>
      </c>
      <c r="C623" s="189" t="s">
        <v>165</v>
      </c>
    </row>
    <row r="624" spans="1:3" ht="15.75" customHeight="1" thickBot="1" x14ac:dyDescent="0.35">
      <c r="A624" s="190">
        <v>55838</v>
      </c>
      <c r="B624" s="191" t="s">
        <v>156</v>
      </c>
      <c r="C624" s="189" t="s">
        <v>166</v>
      </c>
    </row>
    <row r="625" spans="1:3" ht="15.75" customHeight="1" thickBot="1" x14ac:dyDescent="0.35">
      <c r="A625" s="190">
        <v>55878</v>
      </c>
      <c r="B625" s="191" t="s">
        <v>169</v>
      </c>
      <c r="C625" s="189" t="s">
        <v>167</v>
      </c>
    </row>
    <row r="626" spans="1:3" ht="15.75" customHeight="1" thickBot="1" x14ac:dyDescent="0.35">
      <c r="A626" s="193">
        <v>55885</v>
      </c>
      <c r="B626" s="194" t="s">
        <v>169</v>
      </c>
      <c r="C626" s="186" t="s">
        <v>153</v>
      </c>
    </row>
    <row r="627" spans="1:3" ht="15.75" customHeight="1" thickBot="1" x14ac:dyDescent="0.35">
      <c r="A627" s="183">
        <v>55932</v>
      </c>
      <c r="B627" s="184" t="s">
        <v>152</v>
      </c>
      <c r="C627" s="185" t="s">
        <v>154</v>
      </c>
    </row>
    <row r="628" spans="1:3" ht="15.75" customHeight="1" thickBot="1" x14ac:dyDescent="0.35">
      <c r="A628" s="183">
        <v>55933</v>
      </c>
      <c r="B628" s="184" t="s">
        <v>155</v>
      </c>
      <c r="C628" s="186" t="s">
        <v>154</v>
      </c>
    </row>
    <row r="629" spans="1:3" ht="15.75" customHeight="1" thickBot="1" x14ac:dyDescent="0.35">
      <c r="A629" s="183">
        <v>55978</v>
      </c>
      <c r="B629" s="184" t="s">
        <v>156</v>
      </c>
      <c r="C629" s="186" t="s">
        <v>157</v>
      </c>
    </row>
    <row r="630" spans="1:3" ht="15.75" customHeight="1" thickBot="1" x14ac:dyDescent="0.35">
      <c r="A630" s="183">
        <v>55995</v>
      </c>
      <c r="B630" s="184" t="s">
        <v>152</v>
      </c>
      <c r="C630" s="186" t="s">
        <v>159</v>
      </c>
    </row>
    <row r="631" spans="1:3" ht="15.75" customHeight="1" thickBot="1" x14ac:dyDescent="0.35">
      <c r="A631" s="183">
        <v>56005</v>
      </c>
      <c r="B631" s="184" t="s">
        <v>161</v>
      </c>
      <c r="C631" s="186" t="s">
        <v>160</v>
      </c>
    </row>
    <row r="632" spans="1:3" ht="15.75" customHeight="1" thickBot="1" x14ac:dyDescent="0.35">
      <c r="A632" s="183">
        <v>56040</v>
      </c>
      <c r="B632" s="184" t="s">
        <v>161</v>
      </c>
      <c r="C632" s="186" t="s">
        <v>162</v>
      </c>
    </row>
    <row r="633" spans="1:3" ht="15.75" customHeight="1" thickBot="1" x14ac:dyDescent="0.35">
      <c r="A633" s="183">
        <v>56134</v>
      </c>
      <c r="B633" s="184" t="s">
        <v>168</v>
      </c>
      <c r="C633" s="186" t="s">
        <v>163</v>
      </c>
    </row>
    <row r="634" spans="1:3" ht="15.75" customHeight="1" thickBot="1" x14ac:dyDescent="0.35">
      <c r="A634" s="183">
        <v>56169</v>
      </c>
      <c r="B634" s="184" t="s">
        <v>168</v>
      </c>
      <c r="C634" s="186" t="s">
        <v>208</v>
      </c>
    </row>
    <row r="635" spans="1:3" ht="15.75" customHeight="1" thickBot="1" x14ac:dyDescent="0.35">
      <c r="A635" s="183">
        <v>56190</v>
      </c>
      <c r="B635" s="184" t="s">
        <v>168</v>
      </c>
      <c r="C635" s="186" t="s">
        <v>165</v>
      </c>
    </row>
    <row r="636" spans="1:3" ht="15.75" customHeight="1" thickBot="1" x14ac:dyDescent="0.35">
      <c r="A636" s="183">
        <v>56203</v>
      </c>
      <c r="B636" s="184" t="s">
        <v>158</v>
      </c>
      <c r="C636" s="186" t="s">
        <v>166</v>
      </c>
    </row>
    <row r="637" spans="1:3" ht="15.75" customHeight="1" thickBot="1" x14ac:dyDescent="0.35">
      <c r="A637" s="183">
        <v>56243</v>
      </c>
      <c r="B637" s="184" t="s">
        <v>161</v>
      </c>
      <c r="C637" s="186" t="s">
        <v>167</v>
      </c>
    </row>
    <row r="638" spans="1:3" ht="15.75" customHeight="1" thickBot="1" x14ac:dyDescent="0.35">
      <c r="A638" s="187">
        <v>56250</v>
      </c>
      <c r="B638" s="188" t="s">
        <v>161</v>
      </c>
      <c r="C638" s="189" t="s">
        <v>153</v>
      </c>
    </row>
    <row r="639" spans="1:3" ht="15.75" customHeight="1" thickBot="1" x14ac:dyDescent="0.35">
      <c r="A639" s="190">
        <v>56289</v>
      </c>
      <c r="B639" s="191" t="s">
        <v>152</v>
      </c>
      <c r="C639" s="192" t="s">
        <v>154</v>
      </c>
    </row>
    <row r="640" spans="1:3" ht="15.75" customHeight="1" thickBot="1" x14ac:dyDescent="0.35">
      <c r="A640" s="190">
        <v>56290</v>
      </c>
      <c r="B640" s="191" t="s">
        <v>155</v>
      </c>
      <c r="C640" s="189" t="s">
        <v>154</v>
      </c>
    </row>
    <row r="641" spans="1:3" ht="15.75" customHeight="1" thickBot="1" x14ac:dyDescent="0.35">
      <c r="A641" s="190">
        <v>56335</v>
      </c>
      <c r="B641" s="191" t="s">
        <v>156</v>
      </c>
      <c r="C641" s="189" t="s">
        <v>157</v>
      </c>
    </row>
    <row r="642" spans="1:3" ht="15.75" customHeight="1" thickBot="1" x14ac:dyDescent="0.35">
      <c r="A642" s="190">
        <v>56360</v>
      </c>
      <c r="B642" s="191" t="s">
        <v>155</v>
      </c>
      <c r="C642" s="189" t="s">
        <v>159</v>
      </c>
    </row>
    <row r="643" spans="1:3" ht="15.75" customHeight="1" thickBot="1" x14ac:dyDescent="0.35">
      <c r="A643" s="190">
        <v>56370</v>
      </c>
      <c r="B643" s="191" t="s">
        <v>156</v>
      </c>
      <c r="C643" s="189" t="s">
        <v>160</v>
      </c>
    </row>
    <row r="644" spans="1:3" ht="15.75" customHeight="1" thickBot="1" x14ac:dyDescent="0.35">
      <c r="A644" s="190">
        <v>56397</v>
      </c>
      <c r="B644" s="191" t="s">
        <v>161</v>
      </c>
      <c r="C644" s="189" t="s">
        <v>162</v>
      </c>
    </row>
    <row r="645" spans="1:3" ht="15.75" customHeight="1" thickBot="1" x14ac:dyDescent="0.35">
      <c r="A645" s="190">
        <v>56499</v>
      </c>
      <c r="B645" s="191" t="s">
        <v>152</v>
      </c>
      <c r="C645" s="189" t="s">
        <v>163</v>
      </c>
    </row>
    <row r="646" spans="1:3" ht="15.75" customHeight="1" thickBot="1" x14ac:dyDescent="0.35">
      <c r="A646" s="190">
        <v>56534</v>
      </c>
      <c r="B646" s="191" t="s">
        <v>152</v>
      </c>
      <c r="C646" s="189" t="s">
        <v>209</v>
      </c>
    </row>
    <row r="647" spans="1:3" ht="15.75" customHeight="1" thickBot="1" x14ac:dyDescent="0.35">
      <c r="A647" s="190">
        <v>56555</v>
      </c>
      <c r="B647" s="191" t="s">
        <v>152</v>
      </c>
      <c r="C647" s="189" t="s">
        <v>165</v>
      </c>
    </row>
    <row r="648" spans="1:3" ht="15.75" customHeight="1" thickBot="1" x14ac:dyDescent="0.35">
      <c r="A648" s="190">
        <v>56568</v>
      </c>
      <c r="B648" s="191" t="s">
        <v>168</v>
      </c>
      <c r="C648" s="189" t="s">
        <v>166</v>
      </c>
    </row>
    <row r="649" spans="1:3" ht="15.75" customHeight="1" thickBot="1" x14ac:dyDescent="0.35">
      <c r="A649" s="190">
        <v>56608</v>
      </c>
      <c r="B649" s="191" t="s">
        <v>156</v>
      </c>
      <c r="C649" s="189" t="s">
        <v>167</v>
      </c>
    </row>
    <row r="650" spans="1:3" ht="15.75" customHeight="1" thickBot="1" x14ac:dyDescent="0.35">
      <c r="A650" s="193">
        <v>56615</v>
      </c>
      <c r="B650" s="194" t="s">
        <v>156</v>
      </c>
      <c r="C650" s="186" t="s">
        <v>153</v>
      </c>
    </row>
    <row r="651" spans="1:3" ht="15.75" customHeight="1" thickBot="1" x14ac:dyDescent="0.35">
      <c r="A651" s="183">
        <v>56674</v>
      </c>
      <c r="B651" s="184" t="s">
        <v>152</v>
      </c>
      <c r="C651" s="185" t="s">
        <v>154</v>
      </c>
    </row>
    <row r="652" spans="1:3" ht="15.75" customHeight="1" thickBot="1" x14ac:dyDescent="0.35">
      <c r="A652" s="183">
        <v>56675</v>
      </c>
      <c r="B652" s="184" t="s">
        <v>155</v>
      </c>
      <c r="C652" s="186" t="s">
        <v>154</v>
      </c>
    </row>
    <row r="653" spans="1:3" ht="15.75" customHeight="1" thickBot="1" x14ac:dyDescent="0.35">
      <c r="A653" s="183">
        <v>56720</v>
      </c>
      <c r="B653" s="184" t="s">
        <v>156</v>
      </c>
      <c r="C653" s="186" t="s">
        <v>157</v>
      </c>
    </row>
    <row r="654" spans="1:3" ht="15.75" customHeight="1" thickBot="1" x14ac:dyDescent="0.35">
      <c r="A654" s="183">
        <v>56725</v>
      </c>
      <c r="B654" s="184" t="s">
        <v>169</v>
      </c>
      <c r="C654" s="186" t="s">
        <v>159</v>
      </c>
    </row>
    <row r="655" spans="1:3" ht="15.75" customHeight="1" thickBot="1" x14ac:dyDescent="0.35">
      <c r="A655" s="183">
        <v>56735</v>
      </c>
      <c r="B655" s="184" t="s">
        <v>158</v>
      </c>
      <c r="C655" s="186" t="s">
        <v>160</v>
      </c>
    </row>
    <row r="656" spans="1:3" ht="15.75" customHeight="1" thickBot="1" x14ac:dyDescent="0.35">
      <c r="A656" s="183">
        <v>56782</v>
      </c>
      <c r="B656" s="184" t="s">
        <v>161</v>
      </c>
      <c r="C656" s="186" t="s">
        <v>162</v>
      </c>
    </row>
    <row r="657" spans="1:3" ht="15.75" customHeight="1" thickBot="1" x14ac:dyDescent="0.35">
      <c r="A657" s="183">
        <v>56864</v>
      </c>
      <c r="B657" s="184" t="s">
        <v>155</v>
      </c>
      <c r="C657" s="186" t="s">
        <v>163</v>
      </c>
    </row>
    <row r="658" spans="1:3" ht="15.75" customHeight="1" thickBot="1" x14ac:dyDescent="0.35">
      <c r="A658" s="183">
        <v>56899</v>
      </c>
      <c r="B658" s="184" t="s">
        <v>155</v>
      </c>
      <c r="C658" s="186" t="s">
        <v>210</v>
      </c>
    </row>
    <row r="659" spans="1:3" ht="15.75" customHeight="1" thickBot="1" x14ac:dyDescent="0.35">
      <c r="A659" s="183">
        <v>56920</v>
      </c>
      <c r="B659" s="184" t="s">
        <v>155</v>
      </c>
      <c r="C659" s="186" t="s">
        <v>165</v>
      </c>
    </row>
    <row r="660" spans="1:3" ht="15.75" customHeight="1" thickBot="1" x14ac:dyDescent="0.35">
      <c r="A660" s="183">
        <v>56933</v>
      </c>
      <c r="B660" s="184" t="s">
        <v>152</v>
      </c>
      <c r="C660" s="186" t="s">
        <v>166</v>
      </c>
    </row>
    <row r="661" spans="1:3" ht="15.75" customHeight="1" thickBot="1" x14ac:dyDescent="0.35">
      <c r="A661" s="183">
        <v>56973</v>
      </c>
      <c r="B661" s="184" t="s">
        <v>158</v>
      </c>
      <c r="C661" s="186" t="s">
        <v>167</v>
      </c>
    </row>
    <row r="662" spans="1:3" ht="15.75" customHeight="1" thickBot="1" x14ac:dyDescent="0.35">
      <c r="A662" s="187">
        <v>56980</v>
      </c>
      <c r="B662" s="188" t="s">
        <v>158</v>
      </c>
      <c r="C662" s="189" t="s">
        <v>153</v>
      </c>
    </row>
    <row r="663" spans="1:3" ht="15.75" customHeight="1" thickBot="1" x14ac:dyDescent="0.35">
      <c r="A663" s="190">
        <v>57024</v>
      </c>
      <c r="B663" s="191" t="s">
        <v>152</v>
      </c>
      <c r="C663" s="192" t="s">
        <v>154</v>
      </c>
    </row>
    <row r="664" spans="1:3" ht="15.75" customHeight="1" thickBot="1" x14ac:dyDescent="0.35">
      <c r="A664" s="190">
        <v>57025</v>
      </c>
      <c r="B664" s="191" t="s">
        <v>155</v>
      </c>
      <c r="C664" s="189" t="s">
        <v>154</v>
      </c>
    </row>
    <row r="665" spans="1:3" ht="15.75" customHeight="1" thickBot="1" x14ac:dyDescent="0.35">
      <c r="A665" s="190">
        <v>57070</v>
      </c>
      <c r="B665" s="191" t="s">
        <v>156</v>
      </c>
      <c r="C665" s="189" t="s">
        <v>157</v>
      </c>
    </row>
    <row r="666" spans="1:3" ht="15.75" customHeight="1" thickBot="1" x14ac:dyDescent="0.35">
      <c r="A666" s="190">
        <v>57091</v>
      </c>
      <c r="B666" s="191" t="s">
        <v>156</v>
      </c>
      <c r="C666" s="189" t="s">
        <v>159</v>
      </c>
    </row>
    <row r="667" spans="1:3" ht="15.75" customHeight="1" thickBot="1" x14ac:dyDescent="0.35">
      <c r="A667" s="190">
        <v>57101</v>
      </c>
      <c r="B667" s="191" t="s">
        <v>152</v>
      </c>
      <c r="C667" s="189" t="s">
        <v>160</v>
      </c>
    </row>
    <row r="668" spans="1:3" ht="15.75" customHeight="1" thickBot="1" x14ac:dyDescent="0.35">
      <c r="A668" s="190">
        <v>57132</v>
      </c>
      <c r="B668" s="191" t="s">
        <v>161</v>
      </c>
      <c r="C668" s="189" t="s">
        <v>162</v>
      </c>
    </row>
    <row r="669" spans="1:3" ht="15.75" customHeight="1" thickBot="1" x14ac:dyDescent="0.35">
      <c r="A669" s="190">
        <v>57230</v>
      </c>
      <c r="B669" s="191" t="s">
        <v>161</v>
      </c>
      <c r="C669" s="189" t="s">
        <v>163</v>
      </c>
    </row>
    <row r="670" spans="1:3" ht="15.75" customHeight="1" thickBot="1" x14ac:dyDescent="0.35">
      <c r="A670" s="190">
        <v>57265</v>
      </c>
      <c r="B670" s="191" t="s">
        <v>161</v>
      </c>
      <c r="C670" s="189" t="s">
        <v>210</v>
      </c>
    </row>
    <row r="671" spans="1:3" ht="15.75" customHeight="1" thickBot="1" x14ac:dyDescent="0.35">
      <c r="A671" s="190">
        <v>57286</v>
      </c>
      <c r="B671" s="191" t="s">
        <v>161</v>
      </c>
      <c r="C671" s="189" t="s">
        <v>165</v>
      </c>
    </row>
    <row r="672" spans="1:3" ht="15.75" customHeight="1" thickBot="1" x14ac:dyDescent="0.35">
      <c r="A672" s="190">
        <v>57299</v>
      </c>
      <c r="B672" s="191" t="s">
        <v>169</v>
      </c>
      <c r="C672" s="189" t="s">
        <v>166</v>
      </c>
    </row>
    <row r="673" spans="1:3" ht="15.75" customHeight="1" thickBot="1" x14ac:dyDescent="0.35">
      <c r="A673" s="190">
        <v>57339</v>
      </c>
      <c r="B673" s="191" t="s">
        <v>152</v>
      </c>
      <c r="C673" s="189" t="s">
        <v>167</v>
      </c>
    </row>
    <row r="674" spans="1:3" ht="15.75" customHeight="1" thickBot="1" x14ac:dyDescent="0.35">
      <c r="A674" s="193">
        <v>57346</v>
      </c>
      <c r="B674" s="194" t="s">
        <v>152</v>
      </c>
      <c r="C674" s="186" t="s">
        <v>153</v>
      </c>
    </row>
    <row r="675" spans="1:3" ht="15.75" customHeight="1" thickBot="1" x14ac:dyDescent="0.35">
      <c r="A675" s="183">
        <v>57409</v>
      </c>
      <c r="B675" s="184" t="s">
        <v>152</v>
      </c>
      <c r="C675" s="185" t="s">
        <v>154</v>
      </c>
    </row>
    <row r="676" spans="1:3" ht="15.75" customHeight="1" thickBot="1" x14ac:dyDescent="0.35">
      <c r="A676" s="183">
        <v>57410</v>
      </c>
      <c r="B676" s="184" t="s">
        <v>155</v>
      </c>
      <c r="C676" s="186" t="s">
        <v>154</v>
      </c>
    </row>
    <row r="677" spans="1:3" ht="15.75" customHeight="1" thickBot="1" x14ac:dyDescent="0.35">
      <c r="A677" s="183">
        <v>57455</v>
      </c>
      <c r="B677" s="184" t="s">
        <v>156</v>
      </c>
      <c r="C677" s="186" t="s">
        <v>157</v>
      </c>
    </row>
    <row r="678" spans="1:3" ht="15.75" customHeight="1" thickBot="1" x14ac:dyDescent="0.35">
      <c r="A678" s="183">
        <v>57456</v>
      </c>
      <c r="B678" s="184" t="s">
        <v>158</v>
      </c>
      <c r="C678" s="186" t="s">
        <v>159</v>
      </c>
    </row>
    <row r="679" spans="1:3" ht="15.75" customHeight="1" thickBot="1" x14ac:dyDescent="0.35">
      <c r="A679" s="183">
        <v>57466</v>
      </c>
      <c r="B679" s="184" t="s">
        <v>155</v>
      </c>
      <c r="C679" s="186" t="s">
        <v>160</v>
      </c>
    </row>
    <row r="680" spans="1:3" ht="15.75" customHeight="1" thickBot="1" x14ac:dyDescent="0.35">
      <c r="A680" s="183">
        <v>57517</v>
      </c>
      <c r="B680" s="184" t="s">
        <v>161</v>
      </c>
      <c r="C680" s="186" t="s">
        <v>162</v>
      </c>
    </row>
    <row r="681" spans="1:3" ht="15.75" customHeight="1" thickBot="1" x14ac:dyDescent="0.35">
      <c r="A681" s="183">
        <v>57595</v>
      </c>
      <c r="B681" s="184" t="s">
        <v>156</v>
      </c>
      <c r="C681" s="186" t="s">
        <v>163</v>
      </c>
    </row>
    <row r="682" spans="1:3" ht="15.75" customHeight="1" thickBot="1" x14ac:dyDescent="0.35">
      <c r="A682" s="183">
        <v>57630</v>
      </c>
      <c r="B682" s="184" t="s">
        <v>156</v>
      </c>
      <c r="C682" s="186" t="s">
        <v>211</v>
      </c>
    </row>
    <row r="683" spans="1:3" ht="15.75" customHeight="1" thickBot="1" x14ac:dyDescent="0.35">
      <c r="A683" s="183">
        <v>57651</v>
      </c>
      <c r="B683" s="184" t="s">
        <v>156</v>
      </c>
      <c r="C683" s="186" t="s">
        <v>165</v>
      </c>
    </row>
    <row r="684" spans="1:3" ht="15.75" customHeight="1" thickBot="1" x14ac:dyDescent="0.35">
      <c r="A684" s="183">
        <v>57664</v>
      </c>
      <c r="B684" s="184" t="s">
        <v>161</v>
      </c>
      <c r="C684" s="186" t="s">
        <v>166</v>
      </c>
    </row>
    <row r="685" spans="1:3" ht="15.75" customHeight="1" thickBot="1" x14ac:dyDescent="0.35">
      <c r="A685" s="183">
        <v>57704</v>
      </c>
      <c r="B685" s="184" t="s">
        <v>155</v>
      </c>
      <c r="C685" s="186" t="s">
        <v>167</v>
      </c>
    </row>
    <row r="686" spans="1:3" ht="15.75" customHeight="1" thickBot="1" x14ac:dyDescent="0.35">
      <c r="A686" s="187">
        <v>57711</v>
      </c>
      <c r="B686" s="188" t="s">
        <v>155</v>
      </c>
      <c r="C686" s="189" t="s">
        <v>153</v>
      </c>
    </row>
    <row r="687" spans="1:3" ht="15.75" customHeight="1" thickBot="1" x14ac:dyDescent="0.35">
      <c r="A687" s="190">
        <v>57766</v>
      </c>
      <c r="B687" s="191" t="s">
        <v>152</v>
      </c>
      <c r="C687" s="192" t="s">
        <v>154</v>
      </c>
    </row>
    <row r="688" spans="1:3" ht="15.75" customHeight="1" thickBot="1" x14ac:dyDescent="0.35">
      <c r="A688" s="190">
        <v>57767</v>
      </c>
      <c r="B688" s="191" t="s">
        <v>155</v>
      </c>
      <c r="C688" s="189" t="s">
        <v>154</v>
      </c>
    </row>
    <row r="689" spans="1:3" ht="15.75" customHeight="1" thickBot="1" x14ac:dyDescent="0.35">
      <c r="A689" s="190">
        <v>57812</v>
      </c>
      <c r="B689" s="191" t="s">
        <v>156</v>
      </c>
      <c r="C689" s="189" t="s">
        <v>157</v>
      </c>
    </row>
    <row r="690" spans="1:3" ht="15.75" customHeight="1" thickBot="1" x14ac:dyDescent="0.35">
      <c r="A690" s="190">
        <v>57821</v>
      </c>
      <c r="B690" s="191" t="s">
        <v>168</v>
      </c>
      <c r="C690" s="189" t="s">
        <v>159</v>
      </c>
    </row>
    <row r="691" spans="1:3" ht="15.75" customHeight="1" thickBot="1" x14ac:dyDescent="0.35">
      <c r="A691" s="190">
        <v>57831</v>
      </c>
      <c r="B691" s="191" t="s">
        <v>169</v>
      </c>
      <c r="C691" s="189" t="s">
        <v>160</v>
      </c>
    </row>
    <row r="692" spans="1:3" ht="15.75" customHeight="1" thickBot="1" x14ac:dyDescent="0.35">
      <c r="A692" s="190">
        <v>57874</v>
      </c>
      <c r="B692" s="191" t="s">
        <v>161</v>
      </c>
      <c r="C692" s="189" t="s">
        <v>162</v>
      </c>
    </row>
    <row r="693" spans="1:3" ht="15.75" customHeight="1" thickBot="1" x14ac:dyDescent="0.35">
      <c r="A693" s="190">
        <v>57960</v>
      </c>
      <c r="B693" s="191" t="s">
        <v>158</v>
      </c>
      <c r="C693" s="189" t="s">
        <v>163</v>
      </c>
    </row>
    <row r="694" spans="1:3" ht="15.75" customHeight="1" thickBot="1" x14ac:dyDescent="0.35">
      <c r="A694" s="190">
        <v>57995</v>
      </c>
      <c r="B694" s="191" t="s">
        <v>158</v>
      </c>
      <c r="C694" s="189" t="s">
        <v>212</v>
      </c>
    </row>
    <row r="695" spans="1:3" ht="15.75" customHeight="1" thickBot="1" x14ac:dyDescent="0.35">
      <c r="A695" s="190">
        <v>58016</v>
      </c>
      <c r="B695" s="191" t="s">
        <v>158</v>
      </c>
      <c r="C695" s="189" t="s">
        <v>165</v>
      </c>
    </row>
    <row r="696" spans="1:3" ht="15.75" customHeight="1" thickBot="1" x14ac:dyDescent="0.35">
      <c r="A696" s="190">
        <v>58029</v>
      </c>
      <c r="B696" s="191" t="s">
        <v>156</v>
      </c>
      <c r="C696" s="189" t="s">
        <v>166</v>
      </c>
    </row>
    <row r="697" spans="1:3" ht="15.75" customHeight="1" thickBot="1" x14ac:dyDescent="0.35">
      <c r="A697" s="190">
        <v>58069</v>
      </c>
      <c r="B697" s="191" t="s">
        <v>169</v>
      </c>
      <c r="C697" s="189" t="s">
        <v>167</v>
      </c>
    </row>
    <row r="698" spans="1:3" ht="15.75" customHeight="1" thickBot="1" x14ac:dyDescent="0.35">
      <c r="A698" s="193">
        <v>58076</v>
      </c>
      <c r="B698" s="194" t="s">
        <v>169</v>
      </c>
      <c r="C698" s="186" t="s">
        <v>153</v>
      </c>
    </row>
    <row r="699" spans="1:3" ht="15.75" customHeight="1" thickBot="1" x14ac:dyDescent="0.35">
      <c r="A699" s="183">
        <v>58116</v>
      </c>
      <c r="B699" s="184" t="s">
        <v>152</v>
      </c>
      <c r="C699" s="185" t="s">
        <v>154</v>
      </c>
    </row>
    <row r="700" spans="1:3" ht="15.75" customHeight="1" thickBot="1" x14ac:dyDescent="0.35">
      <c r="A700" s="183">
        <v>58117</v>
      </c>
      <c r="B700" s="184" t="s">
        <v>155</v>
      </c>
      <c r="C700" s="186" t="s">
        <v>154</v>
      </c>
    </row>
    <row r="701" spans="1:3" ht="15.75" customHeight="1" thickBot="1" x14ac:dyDescent="0.35">
      <c r="A701" s="183">
        <v>58162</v>
      </c>
      <c r="B701" s="184" t="s">
        <v>156</v>
      </c>
      <c r="C701" s="186" t="s">
        <v>157</v>
      </c>
    </row>
    <row r="702" spans="1:3" ht="15.75" customHeight="1" thickBot="1" x14ac:dyDescent="0.35">
      <c r="A702" s="183">
        <v>58186</v>
      </c>
      <c r="B702" s="184" t="s">
        <v>152</v>
      </c>
      <c r="C702" s="186" t="s">
        <v>159</v>
      </c>
    </row>
    <row r="703" spans="1:3" ht="15.75" customHeight="1" thickBot="1" x14ac:dyDescent="0.35">
      <c r="A703" s="183">
        <v>58196</v>
      </c>
      <c r="B703" s="184" t="s">
        <v>161</v>
      </c>
      <c r="C703" s="186" t="s">
        <v>160</v>
      </c>
    </row>
    <row r="704" spans="1:3" ht="15.75" customHeight="1" thickBot="1" x14ac:dyDescent="0.35">
      <c r="A704" s="183">
        <v>58224</v>
      </c>
      <c r="B704" s="184" t="s">
        <v>161</v>
      </c>
      <c r="C704" s="186" t="s">
        <v>162</v>
      </c>
    </row>
    <row r="705" spans="1:3" ht="15.75" customHeight="1" thickBot="1" x14ac:dyDescent="0.35">
      <c r="A705" s="183">
        <v>58325</v>
      </c>
      <c r="B705" s="184" t="s">
        <v>168</v>
      </c>
      <c r="C705" s="186" t="s">
        <v>163</v>
      </c>
    </row>
    <row r="706" spans="1:3" ht="15.75" customHeight="1" thickBot="1" x14ac:dyDescent="0.35">
      <c r="A706" s="183">
        <v>58360</v>
      </c>
      <c r="B706" s="184" t="s">
        <v>168</v>
      </c>
      <c r="C706" s="186" t="s">
        <v>213</v>
      </c>
    </row>
    <row r="707" spans="1:3" ht="15.75" customHeight="1" thickBot="1" x14ac:dyDescent="0.35">
      <c r="A707" s="183">
        <v>58381</v>
      </c>
      <c r="B707" s="184" t="s">
        <v>168</v>
      </c>
      <c r="C707" s="186" t="s">
        <v>165</v>
      </c>
    </row>
    <row r="708" spans="1:3" ht="15.75" customHeight="1" thickBot="1" x14ac:dyDescent="0.35">
      <c r="A708" s="183">
        <v>58394</v>
      </c>
      <c r="B708" s="184" t="s">
        <v>158</v>
      </c>
      <c r="C708" s="186" t="s">
        <v>166</v>
      </c>
    </row>
    <row r="709" spans="1:3" ht="15.75" customHeight="1" thickBot="1" x14ac:dyDescent="0.35">
      <c r="A709" s="183">
        <v>58434</v>
      </c>
      <c r="B709" s="184" t="s">
        <v>161</v>
      </c>
      <c r="C709" s="186" t="s">
        <v>167</v>
      </c>
    </row>
    <row r="710" spans="1:3" ht="15.75" customHeight="1" thickBot="1" x14ac:dyDescent="0.35">
      <c r="A710" s="187">
        <v>58441</v>
      </c>
      <c r="B710" s="188" t="s">
        <v>161</v>
      </c>
      <c r="C710" s="189" t="s">
        <v>153</v>
      </c>
    </row>
    <row r="711" spans="1:3" ht="15.75" customHeight="1" thickBot="1" x14ac:dyDescent="0.35">
      <c r="A711" s="190">
        <v>58501</v>
      </c>
      <c r="B711" s="191" t="s">
        <v>152</v>
      </c>
      <c r="C711" s="192" t="s">
        <v>154</v>
      </c>
    </row>
    <row r="712" spans="1:3" ht="15.75" customHeight="1" thickBot="1" x14ac:dyDescent="0.35">
      <c r="A712" s="190">
        <v>58502</v>
      </c>
      <c r="B712" s="191" t="s">
        <v>155</v>
      </c>
      <c r="C712" s="189" t="s">
        <v>154</v>
      </c>
    </row>
    <row r="713" spans="1:3" ht="15.75" customHeight="1" thickBot="1" x14ac:dyDescent="0.35">
      <c r="A713" s="190">
        <v>58547</v>
      </c>
      <c r="B713" s="191" t="s">
        <v>156</v>
      </c>
      <c r="C713" s="189" t="s">
        <v>157</v>
      </c>
    </row>
    <row r="714" spans="1:3" ht="15.75" customHeight="1" thickBot="1" x14ac:dyDescent="0.35">
      <c r="A714" s="190">
        <v>58552</v>
      </c>
      <c r="B714" s="191" t="s">
        <v>169</v>
      </c>
      <c r="C714" s="189" t="s">
        <v>159</v>
      </c>
    </row>
    <row r="715" spans="1:3" ht="15.75" customHeight="1" thickBot="1" x14ac:dyDescent="0.35">
      <c r="A715" s="190">
        <v>58562</v>
      </c>
      <c r="B715" s="191" t="s">
        <v>158</v>
      </c>
      <c r="C715" s="189" t="s">
        <v>160</v>
      </c>
    </row>
    <row r="716" spans="1:3" ht="15.75" customHeight="1" thickBot="1" x14ac:dyDescent="0.35">
      <c r="A716" s="190">
        <v>58609</v>
      </c>
      <c r="B716" s="191" t="s">
        <v>161</v>
      </c>
      <c r="C716" s="189" t="s">
        <v>162</v>
      </c>
    </row>
    <row r="717" spans="1:3" ht="15.75" customHeight="1" thickBot="1" x14ac:dyDescent="0.35">
      <c r="A717" s="190">
        <v>58691</v>
      </c>
      <c r="B717" s="191" t="s">
        <v>155</v>
      </c>
      <c r="C717" s="189" t="s">
        <v>163</v>
      </c>
    </row>
    <row r="718" spans="1:3" ht="15.75" customHeight="1" thickBot="1" x14ac:dyDescent="0.35">
      <c r="A718" s="190">
        <v>58726</v>
      </c>
      <c r="B718" s="191" t="s">
        <v>155</v>
      </c>
      <c r="C718" s="189" t="s">
        <v>213</v>
      </c>
    </row>
    <row r="719" spans="1:3" ht="15.75" customHeight="1" thickBot="1" x14ac:dyDescent="0.35">
      <c r="A719" s="190">
        <v>58747</v>
      </c>
      <c r="B719" s="191" t="s">
        <v>155</v>
      </c>
      <c r="C719" s="189" t="s">
        <v>165</v>
      </c>
    </row>
    <row r="720" spans="1:3" ht="15.75" customHeight="1" thickBot="1" x14ac:dyDescent="0.35">
      <c r="A720" s="190">
        <v>58760</v>
      </c>
      <c r="B720" s="191" t="s">
        <v>152</v>
      </c>
      <c r="C720" s="189" t="s">
        <v>166</v>
      </c>
    </row>
    <row r="721" spans="1:3" ht="15.75" customHeight="1" thickBot="1" x14ac:dyDescent="0.35">
      <c r="A721" s="190">
        <v>58800</v>
      </c>
      <c r="B721" s="191" t="s">
        <v>158</v>
      </c>
      <c r="C721" s="189" t="s">
        <v>167</v>
      </c>
    </row>
    <row r="722" spans="1:3" ht="15.75" customHeight="1" thickBot="1" x14ac:dyDescent="0.35">
      <c r="A722" s="193">
        <v>58807</v>
      </c>
      <c r="B722" s="194" t="s">
        <v>158</v>
      </c>
      <c r="C722" s="186" t="s">
        <v>153</v>
      </c>
    </row>
    <row r="723" spans="1:3" ht="15.75" customHeight="1" thickBot="1" x14ac:dyDescent="0.35">
      <c r="A723" s="183">
        <v>58858</v>
      </c>
      <c r="B723" s="184" t="s">
        <v>152</v>
      </c>
      <c r="C723" s="185" t="s">
        <v>154</v>
      </c>
    </row>
    <row r="724" spans="1:3" ht="15.75" customHeight="1" thickBot="1" x14ac:dyDescent="0.35">
      <c r="A724" s="183">
        <v>58859</v>
      </c>
      <c r="B724" s="184" t="s">
        <v>155</v>
      </c>
      <c r="C724" s="186" t="s">
        <v>154</v>
      </c>
    </row>
    <row r="725" spans="1:3" ht="15.75" customHeight="1" thickBot="1" x14ac:dyDescent="0.35">
      <c r="A725" s="183">
        <v>58904</v>
      </c>
      <c r="B725" s="184" t="s">
        <v>156</v>
      </c>
      <c r="C725" s="186" t="s">
        <v>157</v>
      </c>
    </row>
    <row r="726" spans="1:3" ht="15.75" customHeight="1" thickBot="1" x14ac:dyDescent="0.35">
      <c r="A726" s="183">
        <v>58917</v>
      </c>
      <c r="B726" s="184" t="s">
        <v>161</v>
      </c>
      <c r="C726" s="186" t="s">
        <v>159</v>
      </c>
    </row>
    <row r="727" spans="1:3" ht="15.75" customHeight="1" thickBot="1" x14ac:dyDescent="0.35">
      <c r="A727" s="183">
        <v>58927</v>
      </c>
      <c r="B727" s="184" t="s">
        <v>168</v>
      </c>
      <c r="C727" s="186" t="s">
        <v>160</v>
      </c>
    </row>
    <row r="728" spans="1:3" ht="15.75" customHeight="1" thickBot="1" x14ac:dyDescent="0.35">
      <c r="A728" s="183">
        <v>58966</v>
      </c>
      <c r="B728" s="184" t="s">
        <v>161</v>
      </c>
      <c r="C728" s="186" t="s">
        <v>162</v>
      </c>
    </row>
    <row r="729" spans="1:3" ht="15.75" customHeight="1" thickBot="1" x14ac:dyDescent="0.35">
      <c r="A729" s="183">
        <v>59056</v>
      </c>
      <c r="B729" s="184" t="s">
        <v>169</v>
      </c>
      <c r="C729" s="186" t="s">
        <v>163</v>
      </c>
    </row>
    <row r="730" spans="1:3" ht="15.75" customHeight="1" thickBot="1" x14ac:dyDescent="0.35">
      <c r="A730" s="183">
        <v>59091</v>
      </c>
      <c r="B730" s="184" t="s">
        <v>169</v>
      </c>
      <c r="C730" s="186" t="s">
        <v>214</v>
      </c>
    </row>
    <row r="731" spans="1:3" ht="15.75" customHeight="1" thickBot="1" x14ac:dyDescent="0.35">
      <c r="A731" s="183">
        <v>59112</v>
      </c>
      <c r="B731" s="184" t="s">
        <v>169</v>
      </c>
      <c r="C731" s="186" t="s">
        <v>165</v>
      </c>
    </row>
    <row r="732" spans="1:3" ht="15.75" customHeight="1" thickBot="1" x14ac:dyDescent="0.35">
      <c r="A732" s="183">
        <v>59125</v>
      </c>
      <c r="B732" s="184" t="s">
        <v>155</v>
      </c>
      <c r="C732" s="186" t="s">
        <v>166</v>
      </c>
    </row>
    <row r="733" spans="1:3" ht="15.75" customHeight="1" thickBot="1" x14ac:dyDescent="0.35">
      <c r="A733" s="183">
        <v>59165</v>
      </c>
      <c r="B733" s="184" t="s">
        <v>168</v>
      </c>
      <c r="C733" s="186" t="s">
        <v>167</v>
      </c>
    </row>
    <row r="734" spans="1:3" ht="15.75" customHeight="1" thickBot="1" x14ac:dyDescent="0.35">
      <c r="A734" s="187">
        <v>59172</v>
      </c>
      <c r="B734" s="188" t="s">
        <v>168</v>
      </c>
      <c r="C734" s="189" t="s">
        <v>153</v>
      </c>
    </row>
    <row r="735" spans="1:3" ht="15.75" customHeight="1" thickBot="1" x14ac:dyDescent="0.35">
      <c r="A735" s="190">
        <v>59208</v>
      </c>
      <c r="B735" s="191" t="s">
        <v>152</v>
      </c>
      <c r="C735" s="192" t="s">
        <v>154</v>
      </c>
    </row>
    <row r="736" spans="1:3" ht="15.75" customHeight="1" thickBot="1" x14ac:dyDescent="0.35">
      <c r="A736" s="190">
        <v>59209</v>
      </c>
      <c r="B736" s="191" t="s">
        <v>155</v>
      </c>
      <c r="C736" s="189" t="s">
        <v>154</v>
      </c>
    </row>
    <row r="737" spans="1:3" ht="15.75" customHeight="1" thickBot="1" x14ac:dyDescent="0.35">
      <c r="A737" s="190">
        <v>59254</v>
      </c>
      <c r="B737" s="191" t="s">
        <v>156</v>
      </c>
      <c r="C737" s="189" t="s">
        <v>157</v>
      </c>
    </row>
    <row r="738" spans="1:3" ht="15.75" customHeight="1" thickBot="1" x14ac:dyDescent="0.35">
      <c r="A738" s="190">
        <v>59282</v>
      </c>
      <c r="B738" s="191" t="s">
        <v>156</v>
      </c>
      <c r="C738" s="189" t="s">
        <v>159</v>
      </c>
    </row>
    <row r="739" spans="1:3" ht="15.75" customHeight="1" thickBot="1" x14ac:dyDescent="0.35">
      <c r="A739" s="190">
        <v>59292</v>
      </c>
      <c r="B739" s="191" t="s">
        <v>152</v>
      </c>
      <c r="C739" s="189" t="s">
        <v>160</v>
      </c>
    </row>
    <row r="740" spans="1:3" ht="15.75" customHeight="1" thickBot="1" x14ac:dyDescent="0.35">
      <c r="A740" s="190">
        <v>59316</v>
      </c>
      <c r="B740" s="191" t="s">
        <v>161</v>
      </c>
      <c r="C740" s="189" t="s">
        <v>162</v>
      </c>
    </row>
    <row r="741" spans="1:3" ht="15.75" customHeight="1" thickBot="1" x14ac:dyDescent="0.35">
      <c r="A741" s="190">
        <v>59421</v>
      </c>
      <c r="B741" s="191" t="s">
        <v>161</v>
      </c>
      <c r="C741" s="189" t="s">
        <v>163</v>
      </c>
    </row>
    <row r="742" spans="1:3" ht="15.75" customHeight="1" thickBot="1" x14ac:dyDescent="0.35">
      <c r="A742" s="190">
        <v>59456</v>
      </c>
      <c r="B742" s="191" t="s">
        <v>161</v>
      </c>
      <c r="C742" s="189" t="s">
        <v>215</v>
      </c>
    </row>
    <row r="743" spans="1:3" ht="15.75" customHeight="1" thickBot="1" x14ac:dyDescent="0.35">
      <c r="A743" s="190">
        <v>59477</v>
      </c>
      <c r="B743" s="191" t="s">
        <v>161</v>
      </c>
      <c r="C743" s="189" t="s">
        <v>165</v>
      </c>
    </row>
    <row r="744" spans="1:3" ht="15.75" customHeight="1" thickBot="1" x14ac:dyDescent="0.35">
      <c r="A744" s="190">
        <v>59490</v>
      </c>
      <c r="B744" s="191" t="s">
        <v>169</v>
      </c>
      <c r="C744" s="189" t="s">
        <v>166</v>
      </c>
    </row>
    <row r="745" spans="1:3" ht="15.75" customHeight="1" thickBot="1" x14ac:dyDescent="0.35">
      <c r="A745" s="190">
        <v>59530</v>
      </c>
      <c r="B745" s="191" t="s">
        <v>152</v>
      </c>
      <c r="C745" s="189" t="s">
        <v>167</v>
      </c>
    </row>
    <row r="746" spans="1:3" ht="15.75" customHeight="1" thickBot="1" x14ac:dyDescent="0.35">
      <c r="A746" s="193">
        <v>59537</v>
      </c>
      <c r="B746" s="194" t="s">
        <v>152</v>
      </c>
      <c r="C746" s="186" t="s">
        <v>153</v>
      </c>
    </row>
    <row r="747" spans="1:3" ht="15.75" customHeight="1" thickBot="1" x14ac:dyDescent="0.35">
      <c r="A747" s="183">
        <v>59593</v>
      </c>
      <c r="B747" s="184" t="s">
        <v>152</v>
      </c>
      <c r="C747" s="185" t="s">
        <v>154</v>
      </c>
    </row>
    <row r="748" spans="1:3" ht="15.75" customHeight="1" thickBot="1" x14ac:dyDescent="0.35">
      <c r="A748" s="183">
        <v>59594</v>
      </c>
      <c r="B748" s="184" t="s">
        <v>155</v>
      </c>
      <c r="C748" s="186" t="s">
        <v>154</v>
      </c>
    </row>
    <row r="749" spans="1:3" ht="15.75" customHeight="1" thickBot="1" x14ac:dyDescent="0.35">
      <c r="A749" s="183">
        <v>59639</v>
      </c>
      <c r="B749" s="184" t="s">
        <v>156</v>
      </c>
      <c r="C749" s="186" t="s">
        <v>157</v>
      </c>
    </row>
    <row r="750" spans="1:3" ht="15.75" customHeight="1" thickBot="1" x14ac:dyDescent="0.35">
      <c r="A750" s="183">
        <v>59647</v>
      </c>
      <c r="B750" s="184" t="s">
        <v>158</v>
      </c>
      <c r="C750" s="186" t="s">
        <v>159</v>
      </c>
    </row>
    <row r="751" spans="1:3" ht="15.75" customHeight="1" thickBot="1" x14ac:dyDescent="0.35">
      <c r="A751" s="183">
        <v>59657</v>
      </c>
      <c r="B751" s="184" t="s">
        <v>155</v>
      </c>
      <c r="C751" s="186" t="s">
        <v>160</v>
      </c>
    </row>
    <row r="752" spans="1:3" ht="15.75" customHeight="1" thickBot="1" x14ac:dyDescent="0.35">
      <c r="A752" s="183">
        <v>59701</v>
      </c>
      <c r="B752" s="184" t="s">
        <v>161</v>
      </c>
      <c r="C752" s="186" t="s">
        <v>162</v>
      </c>
    </row>
    <row r="753" spans="1:3" ht="15.75" customHeight="1" thickBot="1" x14ac:dyDescent="0.35">
      <c r="A753" s="183">
        <v>59786</v>
      </c>
      <c r="B753" s="184" t="s">
        <v>156</v>
      </c>
      <c r="C753" s="186" t="s">
        <v>163</v>
      </c>
    </row>
    <row r="754" spans="1:3" ht="15.75" customHeight="1" thickBot="1" x14ac:dyDescent="0.35">
      <c r="A754" s="183">
        <v>59821</v>
      </c>
      <c r="B754" s="184" t="s">
        <v>156</v>
      </c>
      <c r="C754" s="186" t="s">
        <v>216</v>
      </c>
    </row>
    <row r="755" spans="1:3" ht="15.75" customHeight="1" thickBot="1" x14ac:dyDescent="0.35">
      <c r="A755" s="183">
        <v>59842</v>
      </c>
      <c r="B755" s="184" t="s">
        <v>156</v>
      </c>
      <c r="C755" s="186" t="s">
        <v>165</v>
      </c>
    </row>
    <row r="756" spans="1:3" ht="15.75" customHeight="1" thickBot="1" x14ac:dyDescent="0.35">
      <c r="A756" s="183">
        <v>59855</v>
      </c>
      <c r="B756" s="184" t="s">
        <v>161</v>
      </c>
      <c r="C756" s="186" t="s">
        <v>166</v>
      </c>
    </row>
    <row r="757" spans="1:3" ht="15.75" customHeight="1" thickBot="1" x14ac:dyDescent="0.35">
      <c r="A757" s="183">
        <v>59895</v>
      </c>
      <c r="B757" s="184" t="s">
        <v>155</v>
      </c>
      <c r="C757" s="186" t="s">
        <v>167</v>
      </c>
    </row>
    <row r="758" spans="1:3" ht="15.75" customHeight="1" thickBot="1" x14ac:dyDescent="0.35">
      <c r="A758" s="187">
        <v>59902</v>
      </c>
      <c r="B758" s="188" t="s">
        <v>155</v>
      </c>
      <c r="C758" s="189" t="s">
        <v>153</v>
      </c>
    </row>
    <row r="759" spans="1:3" ht="15.75" customHeight="1" thickBot="1" x14ac:dyDescent="0.35">
      <c r="A759" s="190">
        <v>59950</v>
      </c>
      <c r="B759" s="191" t="s">
        <v>152</v>
      </c>
      <c r="C759" s="192" t="s">
        <v>154</v>
      </c>
    </row>
    <row r="760" spans="1:3" ht="15.75" customHeight="1" thickBot="1" x14ac:dyDescent="0.35">
      <c r="A760" s="190">
        <v>59951</v>
      </c>
      <c r="B760" s="191" t="s">
        <v>155</v>
      </c>
      <c r="C760" s="189" t="s">
        <v>154</v>
      </c>
    </row>
    <row r="761" spans="1:3" ht="15.75" customHeight="1" thickBot="1" x14ac:dyDescent="0.35">
      <c r="A761" s="190">
        <v>59996</v>
      </c>
      <c r="B761" s="191" t="s">
        <v>156</v>
      </c>
      <c r="C761" s="189" t="s">
        <v>157</v>
      </c>
    </row>
    <row r="762" spans="1:3" ht="15.75" customHeight="1" thickBot="1" x14ac:dyDescent="0.35">
      <c r="A762" s="190">
        <v>60013</v>
      </c>
      <c r="B762" s="191" t="s">
        <v>152</v>
      </c>
      <c r="C762" s="189" t="s">
        <v>159</v>
      </c>
    </row>
    <row r="763" spans="1:3" ht="15.75" customHeight="1" thickBot="1" x14ac:dyDescent="0.35">
      <c r="A763" s="190">
        <v>60023</v>
      </c>
      <c r="B763" s="191" t="s">
        <v>161</v>
      </c>
      <c r="C763" s="189" t="s">
        <v>160</v>
      </c>
    </row>
    <row r="764" spans="1:3" ht="15.75" customHeight="1" thickBot="1" x14ac:dyDescent="0.35">
      <c r="A764" s="190">
        <v>60058</v>
      </c>
      <c r="B764" s="191" t="s">
        <v>161</v>
      </c>
      <c r="C764" s="189" t="s">
        <v>162</v>
      </c>
    </row>
    <row r="765" spans="1:3" ht="15.75" customHeight="1" thickBot="1" x14ac:dyDescent="0.35">
      <c r="A765" s="190">
        <v>60152</v>
      </c>
      <c r="B765" s="191" t="s">
        <v>168</v>
      </c>
      <c r="C765" s="189" t="s">
        <v>163</v>
      </c>
    </row>
    <row r="766" spans="1:3" ht="15.75" customHeight="1" thickBot="1" x14ac:dyDescent="0.35">
      <c r="A766" s="190">
        <v>60187</v>
      </c>
      <c r="B766" s="191" t="s">
        <v>168</v>
      </c>
      <c r="C766" s="189" t="s">
        <v>216</v>
      </c>
    </row>
    <row r="767" spans="1:3" ht="15.75" customHeight="1" thickBot="1" x14ac:dyDescent="0.35">
      <c r="A767" s="190">
        <v>60208</v>
      </c>
      <c r="B767" s="191" t="s">
        <v>168</v>
      </c>
      <c r="C767" s="189" t="s">
        <v>165</v>
      </c>
    </row>
    <row r="768" spans="1:3" ht="15.75" customHeight="1" thickBot="1" x14ac:dyDescent="0.35">
      <c r="A768" s="190">
        <v>60221</v>
      </c>
      <c r="B768" s="191" t="s">
        <v>158</v>
      </c>
      <c r="C768" s="189" t="s">
        <v>166</v>
      </c>
    </row>
    <row r="769" spans="1:3" ht="15.75" customHeight="1" thickBot="1" x14ac:dyDescent="0.35">
      <c r="A769" s="190">
        <v>60261</v>
      </c>
      <c r="B769" s="191" t="s">
        <v>161</v>
      </c>
      <c r="C769" s="189" t="s">
        <v>167</v>
      </c>
    </row>
    <row r="770" spans="1:3" ht="15.75" customHeight="1" thickBot="1" x14ac:dyDescent="0.35">
      <c r="A770" s="193">
        <v>60268</v>
      </c>
      <c r="B770" s="194" t="s">
        <v>161</v>
      </c>
      <c r="C770" s="186" t="s">
        <v>153</v>
      </c>
    </row>
    <row r="771" spans="1:3" ht="15.75" customHeight="1" thickBot="1" x14ac:dyDescent="0.35">
      <c r="A771" s="183">
        <v>60307</v>
      </c>
      <c r="B771" s="184" t="s">
        <v>152</v>
      </c>
      <c r="C771" s="185" t="s">
        <v>154</v>
      </c>
    </row>
    <row r="772" spans="1:3" ht="15.75" customHeight="1" thickBot="1" x14ac:dyDescent="0.35">
      <c r="A772" s="183">
        <v>60308</v>
      </c>
      <c r="B772" s="184" t="s">
        <v>155</v>
      </c>
      <c r="C772" s="186" t="s">
        <v>154</v>
      </c>
    </row>
    <row r="773" spans="1:3" ht="15.75" customHeight="1" thickBot="1" x14ac:dyDescent="0.35">
      <c r="A773" s="183">
        <v>60353</v>
      </c>
      <c r="B773" s="184" t="s">
        <v>156</v>
      </c>
      <c r="C773" s="186" t="s">
        <v>157</v>
      </c>
    </row>
    <row r="774" spans="1:3" ht="15.75" customHeight="1" thickBot="1" x14ac:dyDescent="0.35">
      <c r="A774" s="183">
        <v>60378</v>
      </c>
      <c r="B774" s="184" t="s">
        <v>155</v>
      </c>
      <c r="C774" s="186" t="s">
        <v>159</v>
      </c>
    </row>
    <row r="775" spans="1:3" ht="15.75" customHeight="1" thickBot="1" x14ac:dyDescent="0.35">
      <c r="A775" s="183">
        <v>60388</v>
      </c>
      <c r="B775" s="184" t="s">
        <v>156</v>
      </c>
      <c r="C775" s="186" t="s">
        <v>160</v>
      </c>
    </row>
    <row r="776" spans="1:3" ht="15.75" customHeight="1" thickBot="1" x14ac:dyDescent="0.35">
      <c r="A776" s="183">
        <v>60415</v>
      </c>
      <c r="B776" s="184" t="s">
        <v>161</v>
      </c>
      <c r="C776" s="186" t="s">
        <v>162</v>
      </c>
    </row>
    <row r="777" spans="1:3" ht="15.75" customHeight="1" thickBot="1" x14ac:dyDescent="0.35">
      <c r="A777" s="183">
        <v>60517</v>
      </c>
      <c r="B777" s="184" t="s">
        <v>152</v>
      </c>
      <c r="C777" s="186" t="s">
        <v>163</v>
      </c>
    </row>
    <row r="778" spans="1:3" ht="15.75" customHeight="1" thickBot="1" x14ac:dyDescent="0.35">
      <c r="A778" s="183">
        <v>60552</v>
      </c>
      <c r="B778" s="184" t="s">
        <v>152</v>
      </c>
      <c r="C778" s="186" t="s">
        <v>217</v>
      </c>
    </row>
    <row r="779" spans="1:3" ht="15.75" customHeight="1" thickBot="1" x14ac:dyDescent="0.35">
      <c r="A779" s="183">
        <v>60573</v>
      </c>
      <c r="B779" s="184" t="s">
        <v>152</v>
      </c>
      <c r="C779" s="186" t="s">
        <v>165</v>
      </c>
    </row>
    <row r="780" spans="1:3" ht="15.75" customHeight="1" thickBot="1" x14ac:dyDescent="0.35">
      <c r="A780" s="183">
        <v>60586</v>
      </c>
      <c r="B780" s="184" t="s">
        <v>168</v>
      </c>
      <c r="C780" s="186" t="s">
        <v>166</v>
      </c>
    </row>
    <row r="781" spans="1:3" ht="15.75" customHeight="1" thickBot="1" x14ac:dyDescent="0.35">
      <c r="A781" s="183">
        <v>60626</v>
      </c>
      <c r="B781" s="184" t="s">
        <v>156</v>
      </c>
      <c r="C781" s="186" t="s">
        <v>167</v>
      </c>
    </row>
    <row r="782" spans="1:3" ht="15.75" customHeight="1" thickBot="1" x14ac:dyDescent="0.35">
      <c r="A782" s="187">
        <v>60633</v>
      </c>
      <c r="B782" s="188" t="s">
        <v>156</v>
      </c>
      <c r="C782" s="189" t="s">
        <v>153</v>
      </c>
    </row>
    <row r="783" spans="1:3" ht="15.75" customHeight="1" thickBot="1" x14ac:dyDescent="0.35">
      <c r="A783" s="190">
        <v>60685</v>
      </c>
      <c r="B783" s="191" t="s">
        <v>152</v>
      </c>
      <c r="C783" s="192" t="s">
        <v>154</v>
      </c>
    </row>
    <row r="784" spans="1:3" ht="15.75" customHeight="1" thickBot="1" x14ac:dyDescent="0.35">
      <c r="A784" s="190">
        <v>60686</v>
      </c>
      <c r="B784" s="191" t="s">
        <v>155</v>
      </c>
      <c r="C784" s="189" t="s">
        <v>154</v>
      </c>
    </row>
    <row r="785" spans="1:3" ht="15.75" customHeight="1" thickBot="1" x14ac:dyDescent="0.35">
      <c r="A785" s="190">
        <v>60731</v>
      </c>
      <c r="B785" s="191" t="s">
        <v>156</v>
      </c>
      <c r="C785" s="189" t="s">
        <v>157</v>
      </c>
    </row>
    <row r="786" spans="1:3" ht="15.75" customHeight="1" thickBot="1" x14ac:dyDescent="0.35">
      <c r="A786" s="190">
        <v>60743</v>
      </c>
      <c r="B786" s="191" t="s">
        <v>169</v>
      </c>
      <c r="C786" s="189" t="s">
        <v>159</v>
      </c>
    </row>
    <row r="787" spans="1:3" ht="15.75" customHeight="1" thickBot="1" x14ac:dyDescent="0.35">
      <c r="A787" s="190">
        <v>60753</v>
      </c>
      <c r="B787" s="191" t="s">
        <v>158</v>
      </c>
      <c r="C787" s="189" t="s">
        <v>160</v>
      </c>
    </row>
    <row r="788" spans="1:3" ht="15.75" customHeight="1" thickBot="1" x14ac:dyDescent="0.35">
      <c r="A788" s="190">
        <v>60793</v>
      </c>
      <c r="B788" s="191" t="s">
        <v>161</v>
      </c>
      <c r="C788" s="189" t="s">
        <v>162</v>
      </c>
    </row>
    <row r="789" spans="1:3" ht="15.75" customHeight="1" thickBot="1" x14ac:dyDescent="0.35">
      <c r="A789" s="190">
        <v>60882</v>
      </c>
      <c r="B789" s="191" t="s">
        <v>155</v>
      </c>
      <c r="C789" s="189" t="s">
        <v>163</v>
      </c>
    </row>
    <row r="790" spans="1:3" ht="15.75" customHeight="1" thickBot="1" x14ac:dyDescent="0.35">
      <c r="A790" s="190">
        <v>60917</v>
      </c>
      <c r="B790" s="191" t="s">
        <v>155</v>
      </c>
      <c r="C790" s="189" t="s">
        <v>218</v>
      </c>
    </row>
    <row r="791" spans="1:3" ht="15.75" customHeight="1" thickBot="1" x14ac:dyDescent="0.35">
      <c r="A791" s="190">
        <v>60938</v>
      </c>
      <c r="B791" s="191" t="s">
        <v>155</v>
      </c>
      <c r="C791" s="189" t="s">
        <v>165</v>
      </c>
    </row>
    <row r="792" spans="1:3" ht="15.75" customHeight="1" thickBot="1" x14ac:dyDescent="0.35">
      <c r="A792" s="190">
        <v>60951</v>
      </c>
      <c r="B792" s="191" t="s">
        <v>152</v>
      </c>
      <c r="C792" s="189" t="s">
        <v>166</v>
      </c>
    </row>
    <row r="793" spans="1:3" ht="15.75" customHeight="1" thickBot="1" x14ac:dyDescent="0.35">
      <c r="A793" s="190">
        <v>60991</v>
      </c>
      <c r="B793" s="191" t="s">
        <v>158</v>
      </c>
      <c r="C793" s="189" t="s">
        <v>167</v>
      </c>
    </row>
    <row r="794" spans="1:3" ht="15.75" customHeight="1" thickBot="1" x14ac:dyDescent="0.35">
      <c r="A794" s="193">
        <v>60998</v>
      </c>
      <c r="B794" s="194" t="s">
        <v>158</v>
      </c>
      <c r="C794" s="186" t="s">
        <v>153</v>
      </c>
    </row>
    <row r="795" spans="1:3" ht="15.75" customHeight="1" thickBot="1" x14ac:dyDescent="0.35">
      <c r="A795" s="183">
        <v>61042</v>
      </c>
      <c r="B795" s="184" t="s">
        <v>152</v>
      </c>
      <c r="C795" s="185" t="s">
        <v>154</v>
      </c>
    </row>
    <row r="796" spans="1:3" ht="15.75" customHeight="1" thickBot="1" x14ac:dyDescent="0.35">
      <c r="A796" s="183">
        <v>61043</v>
      </c>
      <c r="B796" s="184" t="s">
        <v>155</v>
      </c>
      <c r="C796" s="186" t="s">
        <v>154</v>
      </c>
    </row>
    <row r="797" spans="1:3" ht="15.75" customHeight="1" thickBot="1" x14ac:dyDescent="0.35">
      <c r="A797" s="183">
        <v>61088</v>
      </c>
      <c r="B797" s="184" t="s">
        <v>156</v>
      </c>
      <c r="C797" s="186" t="s">
        <v>157</v>
      </c>
    </row>
    <row r="798" spans="1:3" ht="15.75" customHeight="1" thickBot="1" x14ac:dyDescent="0.35">
      <c r="A798" s="183">
        <v>61108</v>
      </c>
      <c r="B798" s="184" t="s">
        <v>161</v>
      </c>
      <c r="C798" s="186" t="s">
        <v>159</v>
      </c>
    </row>
    <row r="799" spans="1:3" ht="15.75" customHeight="1" thickBot="1" x14ac:dyDescent="0.35">
      <c r="A799" s="183">
        <v>61118</v>
      </c>
      <c r="B799" s="184" t="s">
        <v>168</v>
      </c>
      <c r="C799" s="186" t="s">
        <v>160</v>
      </c>
    </row>
    <row r="800" spans="1:3" ht="15.75" customHeight="1" thickBot="1" x14ac:dyDescent="0.35">
      <c r="A800" s="183">
        <v>61150</v>
      </c>
      <c r="B800" s="184" t="s">
        <v>161</v>
      </c>
      <c r="C800" s="186" t="s">
        <v>162</v>
      </c>
    </row>
    <row r="801" spans="1:3" ht="15.75" customHeight="1" thickBot="1" x14ac:dyDescent="0.35">
      <c r="A801" s="183">
        <v>61247</v>
      </c>
      <c r="B801" s="184" t="s">
        <v>169</v>
      </c>
      <c r="C801" s="186" t="s">
        <v>163</v>
      </c>
    </row>
    <row r="802" spans="1:3" ht="15.75" customHeight="1" thickBot="1" x14ac:dyDescent="0.35">
      <c r="A802" s="183">
        <v>61282</v>
      </c>
      <c r="B802" s="184" t="s">
        <v>169</v>
      </c>
      <c r="C802" s="186" t="s">
        <v>219</v>
      </c>
    </row>
    <row r="803" spans="1:3" ht="15.75" customHeight="1" thickBot="1" x14ac:dyDescent="0.35">
      <c r="A803" s="183">
        <v>61303</v>
      </c>
      <c r="B803" s="184" t="s">
        <v>169</v>
      </c>
      <c r="C803" s="186" t="s">
        <v>165</v>
      </c>
    </row>
    <row r="804" spans="1:3" ht="15.75" customHeight="1" thickBot="1" x14ac:dyDescent="0.35">
      <c r="A804" s="183">
        <v>61316</v>
      </c>
      <c r="B804" s="184" t="s">
        <v>155</v>
      </c>
      <c r="C804" s="186" t="s">
        <v>166</v>
      </c>
    </row>
    <row r="805" spans="1:3" ht="15.75" customHeight="1" thickBot="1" x14ac:dyDescent="0.35">
      <c r="A805" s="183">
        <v>61356</v>
      </c>
      <c r="B805" s="184" t="s">
        <v>168</v>
      </c>
      <c r="C805" s="186" t="s">
        <v>167</v>
      </c>
    </row>
    <row r="806" spans="1:3" ht="15.75" customHeight="1" thickBot="1" x14ac:dyDescent="0.35">
      <c r="A806" s="187">
        <v>61363</v>
      </c>
      <c r="B806" s="188" t="s">
        <v>168</v>
      </c>
      <c r="C806" s="189" t="s">
        <v>153</v>
      </c>
    </row>
    <row r="807" spans="1:3" ht="15.75" customHeight="1" thickBot="1" x14ac:dyDescent="0.35">
      <c r="A807" s="190">
        <v>61427</v>
      </c>
      <c r="B807" s="191" t="s">
        <v>152</v>
      </c>
      <c r="C807" s="192" t="s">
        <v>154</v>
      </c>
    </row>
    <row r="808" spans="1:3" ht="15.75" customHeight="1" thickBot="1" x14ac:dyDescent="0.35">
      <c r="A808" s="190">
        <v>61428</v>
      </c>
      <c r="B808" s="191" t="s">
        <v>155</v>
      </c>
      <c r="C808" s="189" t="s">
        <v>154</v>
      </c>
    </row>
    <row r="809" spans="1:3" ht="15.75" customHeight="1" thickBot="1" x14ac:dyDescent="0.35">
      <c r="A809" s="190">
        <v>61473</v>
      </c>
      <c r="B809" s="191" t="s">
        <v>156</v>
      </c>
      <c r="C809" s="189" t="s">
        <v>157</v>
      </c>
    </row>
    <row r="810" spans="1:3" ht="15.75" customHeight="1" thickBot="1" x14ac:dyDescent="0.35">
      <c r="A810" s="190">
        <v>61474</v>
      </c>
      <c r="B810" s="191" t="s">
        <v>158</v>
      </c>
      <c r="C810" s="189" t="s">
        <v>159</v>
      </c>
    </row>
    <row r="811" spans="1:3" ht="15.75" customHeight="1" thickBot="1" x14ac:dyDescent="0.35">
      <c r="A811" s="190">
        <v>61484</v>
      </c>
      <c r="B811" s="191" t="s">
        <v>155</v>
      </c>
      <c r="C811" s="189" t="s">
        <v>160</v>
      </c>
    </row>
    <row r="812" spans="1:3" ht="15.75" customHeight="1" thickBot="1" x14ac:dyDescent="0.35">
      <c r="A812" s="190">
        <v>61535</v>
      </c>
      <c r="B812" s="191" t="s">
        <v>161</v>
      </c>
      <c r="C812" s="189" t="s">
        <v>162</v>
      </c>
    </row>
    <row r="813" spans="1:3" ht="15.75" customHeight="1" thickBot="1" x14ac:dyDescent="0.35">
      <c r="A813" s="190">
        <v>61613</v>
      </c>
      <c r="B813" s="191" t="s">
        <v>156</v>
      </c>
      <c r="C813" s="189" t="s">
        <v>163</v>
      </c>
    </row>
    <row r="814" spans="1:3" ht="15.75" customHeight="1" thickBot="1" x14ac:dyDescent="0.35">
      <c r="A814" s="190">
        <v>61648</v>
      </c>
      <c r="B814" s="191" t="s">
        <v>156</v>
      </c>
      <c r="C814" s="189" t="s">
        <v>219</v>
      </c>
    </row>
    <row r="815" spans="1:3" ht="15.75" customHeight="1" thickBot="1" x14ac:dyDescent="0.35">
      <c r="A815" s="190">
        <v>61669</v>
      </c>
      <c r="B815" s="191" t="s">
        <v>156</v>
      </c>
      <c r="C815" s="189" t="s">
        <v>165</v>
      </c>
    </row>
    <row r="816" spans="1:3" ht="15.75" customHeight="1" thickBot="1" x14ac:dyDescent="0.35">
      <c r="A816" s="190">
        <v>61682</v>
      </c>
      <c r="B816" s="191" t="s">
        <v>161</v>
      </c>
      <c r="C816" s="189" t="s">
        <v>166</v>
      </c>
    </row>
    <row r="817" spans="1:3" ht="15.75" customHeight="1" thickBot="1" x14ac:dyDescent="0.35">
      <c r="A817" s="190">
        <v>61722</v>
      </c>
      <c r="B817" s="191" t="s">
        <v>155</v>
      </c>
      <c r="C817" s="189" t="s">
        <v>167</v>
      </c>
    </row>
    <row r="818" spans="1:3" ht="15.75" customHeight="1" thickBot="1" x14ac:dyDescent="0.35">
      <c r="A818" s="193">
        <v>61729</v>
      </c>
      <c r="B818" s="194" t="s">
        <v>155</v>
      </c>
      <c r="C818" s="186" t="s">
        <v>153</v>
      </c>
    </row>
    <row r="819" spans="1:3" ht="15.75" customHeight="1" thickBot="1" x14ac:dyDescent="0.35">
      <c r="A819" s="183">
        <v>61784</v>
      </c>
      <c r="B819" s="184" t="s">
        <v>152</v>
      </c>
      <c r="C819" s="185" t="s">
        <v>154</v>
      </c>
    </row>
    <row r="820" spans="1:3" ht="15.75" customHeight="1" thickBot="1" x14ac:dyDescent="0.35">
      <c r="A820" s="183">
        <v>61785</v>
      </c>
      <c r="B820" s="184" t="s">
        <v>155</v>
      </c>
      <c r="C820" s="186" t="s">
        <v>154</v>
      </c>
    </row>
    <row r="821" spans="1:3" ht="15.75" customHeight="1" thickBot="1" x14ac:dyDescent="0.35">
      <c r="A821" s="183">
        <v>61830</v>
      </c>
      <c r="B821" s="184" t="s">
        <v>156</v>
      </c>
      <c r="C821" s="186" t="s">
        <v>157</v>
      </c>
    </row>
    <row r="822" spans="1:3" ht="15.75" customHeight="1" thickBot="1" x14ac:dyDescent="0.35">
      <c r="A822" s="183">
        <v>61839</v>
      </c>
      <c r="B822" s="184" t="s">
        <v>168</v>
      </c>
      <c r="C822" s="186" t="s">
        <v>159</v>
      </c>
    </row>
    <row r="823" spans="1:3" ht="15.75" customHeight="1" thickBot="1" x14ac:dyDescent="0.35">
      <c r="A823" s="183">
        <v>61849</v>
      </c>
      <c r="B823" s="184" t="s">
        <v>169</v>
      </c>
      <c r="C823" s="186" t="s">
        <v>160</v>
      </c>
    </row>
    <row r="824" spans="1:3" ht="15.75" customHeight="1" thickBot="1" x14ac:dyDescent="0.35">
      <c r="A824" s="183">
        <v>61892</v>
      </c>
      <c r="B824" s="184" t="s">
        <v>161</v>
      </c>
      <c r="C824" s="186" t="s">
        <v>162</v>
      </c>
    </row>
    <row r="825" spans="1:3" ht="15.75" customHeight="1" thickBot="1" x14ac:dyDescent="0.35">
      <c r="A825" s="183">
        <v>61978</v>
      </c>
      <c r="B825" s="184" t="s">
        <v>158</v>
      </c>
      <c r="C825" s="186" t="s">
        <v>163</v>
      </c>
    </row>
    <row r="826" spans="1:3" ht="15.75" customHeight="1" thickBot="1" x14ac:dyDescent="0.35">
      <c r="A826" s="183">
        <v>62013</v>
      </c>
      <c r="B826" s="184" t="s">
        <v>158</v>
      </c>
      <c r="C826" s="186" t="s">
        <v>220</v>
      </c>
    </row>
    <row r="827" spans="1:3" ht="15.75" customHeight="1" thickBot="1" x14ac:dyDescent="0.35">
      <c r="A827" s="183">
        <v>62034</v>
      </c>
      <c r="B827" s="184" t="s">
        <v>158</v>
      </c>
      <c r="C827" s="186" t="s">
        <v>165</v>
      </c>
    </row>
    <row r="828" spans="1:3" ht="15.75" customHeight="1" thickBot="1" x14ac:dyDescent="0.35">
      <c r="A828" s="183">
        <v>62047</v>
      </c>
      <c r="B828" s="184" t="s">
        <v>156</v>
      </c>
      <c r="C828" s="186" t="s">
        <v>166</v>
      </c>
    </row>
    <row r="829" spans="1:3" ht="15.75" customHeight="1" thickBot="1" x14ac:dyDescent="0.35">
      <c r="A829" s="183">
        <v>62087</v>
      </c>
      <c r="B829" s="184" t="s">
        <v>169</v>
      </c>
      <c r="C829" s="186" t="s">
        <v>167</v>
      </c>
    </row>
    <row r="830" spans="1:3" ht="15.75" customHeight="1" thickBot="1" x14ac:dyDescent="0.35">
      <c r="A830" s="187">
        <v>62094</v>
      </c>
      <c r="B830" s="188" t="s">
        <v>169</v>
      </c>
      <c r="C830" s="189" t="s">
        <v>153</v>
      </c>
    </row>
    <row r="831" spans="1:3" ht="15.75" customHeight="1" thickBot="1" x14ac:dyDescent="0.35">
      <c r="A831" s="190">
        <v>62134</v>
      </c>
      <c r="B831" s="191" t="s">
        <v>152</v>
      </c>
      <c r="C831" s="192" t="s">
        <v>154</v>
      </c>
    </row>
    <row r="832" spans="1:3" ht="15.75" customHeight="1" thickBot="1" x14ac:dyDescent="0.35">
      <c r="A832" s="190">
        <v>62135</v>
      </c>
      <c r="B832" s="191" t="s">
        <v>155</v>
      </c>
      <c r="C832" s="189" t="s">
        <v>154</v>
      </c>
    </row>
    <row r="833" spans="1:3" ht="15.75" customHeight="1" thickBot="1" x14ac:dyDescent="0.35">
      <c r="A833" s="190">
        <v>62180</v>
      </c>
      <c r="B833" s="191" t="s">
        <v>156</v>
      </c>
      <c r="C833" s="189" t="s">
        <v>157</v>
      </c>
    </row>
    <row r="834" spans="1:3" ht="15.75" customHeight="1" thickBot="1" x14ac:dyDescent="0.35">
      <c r="A834" s="190">
        <v>62204</v>
      </c>
      <c r="B834" s="191" t="s">
        <v>152</v>
      </c>
      <c r="C834" s="189" t="s">
        <v>159</v>
      </c>
    </row>
    <row r="835" spans="1:3" ht="15.75" customHeight="1" thickBot="1" x14ac:dyDescent="0.35">
      <c r="A835" s="190">
        <v>62214</v>
      </c>
      <c r="B835" s="191" t="s">
        <v>161</v>
      </c>
      <c r="C835" s="189" t="s">
        <v>160</v>
      </c>
    </row>
    <row r="836" spans="1:3" ht="15.75" customHeight="1" thickBot="1" x14ac:dyDescent="0.35">
      <c r="A836" s="190">
        <v>62242</v>
      </c>
      <c r="B836" s="191" t="s">
        <v>161</v>
      </c>
      <c r="C836" s="189" t="s">
        <v>162</v>
      </c>
    </row>
    <row r="837" spans="1:3" ht="15.75" customHeight="1" thickBot="1" x14ac:dyDescent="0.35">
      <c r="A837" s="190">
        <v>62343</v>
      </c>
      <c r="B837" s="191" t="s">
        <v>168</v>
      </c>
      <c r="C837" s="189" t="s">
        <v>163</v>
      </c>
    </row>
    <row r="838" spans="1:3" ht="15.75" customHeight="1" thickBot="1" x14ac:dyDescent="0.35">
      <c r="A838" s="190">
        <v>62378</v>
      </c>
      <c r="B838" s="191" t="s">
        <v>168</v>
      </c>
      <c r="C838" s="189" t="s">
        <v>221</v>
      </c>
    </row>
    <row r="839" spans="1:3" ht="15.75" customHeight="1" thickBot="1" x14ac:dyDescent="0.35">
      <c r="A839" s="190">
        <v>62399</v>
      </c>
      <c r="B839" s="191" t="s">
        <v>168</v>
      </c>
      <c r="C839" s="189" t="s">
        <v>165</v>
      </c>
    </row>
    <row r="840" spans="1:3" ht="15.75" customHeight="1" thickBot="1" x14ac:dyDescent="0.35">
      <c r="A840" s="190">
        <v>62412</v>
      </c>
      <c r="B840" s="191" t="s">
        <v>158</v>
      </c>
      <c r="C840" s="189" t="s">
        <v>166</v>
      </c>
    </row>
    <row r="841" spans="1:3" ht="15.75" customHeight="1" thickBot="1" x14ac:dyDescent="0.35">
      <c r="A841" s="190">
        <v>62452</v>
      </c>
      <c r="B841" s="191" t="s">
        <v>161</v>
      </c>
      <c r="C841" s="189" t="s">
        <v>167</v>
      </c>
    </row>
    <row r="842" spans="1:3" ht="15.75" customHeight="1" thickBot="1" x14ac:dyDescent="0.35">
      <c r="A842" s="193">
        <v>62459</v>
      </c>
      <c r="B842" s="194" t="s">
        <v>161</v>
      </c>
      <c r="C842" s="186" t="s">
        <v>153</v>
      </c>
    </row>
    <row r="843" spans="1:3" ht="15.75" customHeight="1" thickBot="1" x14ac:dyDescent="0.35">
      <c r="A843" s="183">
        <v>62519</v>
      </c>
      <c r="B843" s="184" t="s">
        <v>152</v>
      </c>
      <c r="C843" s="185" t="s">
        <v>154</v>
      </c>
    </row>
    <row r="844" spans="1:3" ht="15.75" customHeight="1" thickBot="1" x14ac:dyDescent="0.35">
      <c r="A844" s="183">
        <v>62520</v>
      </c>
      <c r="B844" s="184" t="s">
        <v>155</v>
      </c>
      <c r="C844" s="186" t="s">
        <v>154</v>
      </c>
    </row>
    <row r="845" spans="1:3" ht="15.75" customHeight="1" thickBot="1" x14ac:dyDescent="0.35">
      <c r="A845" s="183">
        <v>62565</v>
      </c>
      <c r="B845" s="184" t="s">
        <v>156</v>
      </c>
      <c r="C845" s="186" t="s">
        <v>157</v>
      </c>
    </row>
    <row r="846" spans="1:3" ht="15.75" customHeight="1" thickBot="1" x14ac:dyDescent="0.35">
      <c r="A846" s="183">
        <v>62569</v>
      </c>
      <c r="B846" s="184" t="s">
        <v>155</v>
      </c>
      <c r="C846" s="186" t="s">
        <v>159</v>
      </c>
    </row>
    <row r="847" spans="1:3" ht="15.75" customHeight="1" thickBot="1" x14ac:dyDescent="0.35">
      <c r="A847" s="183">
        <v>62579</v>
      </c>
      <c r="B847" s="184" t="s">
        <v>156</v>
      </c>
      <c r="C847" s="186" t="s">
        <v>160</v>
      </c>
    </row>
    <row r="848" spans="1:3" ht="15.75" customHeight="1" thickBot="1" x14ac:dyDescent="0.35">
      <c r="A848" s="183">
        <v>62627</v>
      </c>
      <c r="B848" s="184" t="s">
        <v>161</v>
      </c>
      <c r="C848" s="186" t="s">
        <v>162</v>
      </c>
    </row>
    <row r="849" spans="1:3" ht="15.75" customHeight="1" thickBot="1" x14ac:dyDescent="0.35">
      <c r="A849" s="183">
        <v>62708</v>
      </c>
      <c r="B849" s="184" t="s">
        <v>152</v>
      </c>
      <c r="C849" s="186" t="s">
        <v>163</v>
      </c>
    </row>
    <row r="850" spans="1:3" ht="15.75" customHeight="1" thickBot="1" x14ac:dyDescent="0.35">
      <c r="A850" s="183">
        <v>62743</v>
      </c>
      <c r="B850" s="184" t="s">
        <v>152</v>
      </c>
      <c r="C850" s="186" t="s">
        <v>222</v>
      </c>
    </row>
    <row r="851" spans="1:3" ht="15.75" customHeight="1" thickBot="1" x14ac:dyDescent="0.35">
      <c r="A851" s="183">
        <v>62764</v>
      </c>
      <c r="B851" s="184" t="s">
        <v>152</v>
      </c>
      <c r="C851" s="186" t="s">
        <v>165</v>
      </c>
    </row>
    <row r="852" spans="1:3" ht="15.75" customHeight="1" thickBot="1" x14ac:dyDescent="0.35">
      <c r="A852" s="183">
        <v>62777</v>
      </c>
      <c r="B852" s="184" t="s">
        <v>168</v>
      </c>
      <c r="C852" s="186" t="s">
        <v>166</v>
      </c>
    </row>
    <row r="853" spans="1:3" ht="15.75" customHeight="1" thickBot="1" x14ac:dyDescent="0.35">
      <c r="A853" s="183">
        <v>62817</v>
      </c>
      <c r="B853" s="184" t="s">
        <v>156</v>
      </c>
      <c r="C853" s="186" t="s">
        <v>167</v>
      </c>
    </row>
    <row r="854" spans="1:3" ht="15.75" customHeight="1" thickBot="1" x14ac:dyDescent="0.35">
      <c r="A854" s="187">
        <v>62824</v>
      </c>
      <c r="B854" s="188" t="s">
        <v>156</v>
      </c>
      <c r="C854" s="189" t="s">
        <v>153</v>
      </c>
    </row>
    <row r="855" spans="1:3" ht="15.75" customHeight="1" thickBot="1" x14ac:dyDescent="0.35">
      <c r="A855" s="190">
        <v>62876</v>
      </c>
      <c r="B855" s="191" t="s">
        <v>152</v>
      </c>
      <c r="C855" s="192" t="s">
        <v>154</v>
      </c>
    </row>
    <row r="856" spans="1:3" ht="15.75" customHeight="1" thickBot="1" x14ac:dyDescent="0.35">
      <c r="A856" s="190">
        <v>62877</v>
      </c>
      <c r="B856" s="191" t="s">
        <v>155</v>
      </c>
      <c r="C856" s="189" t="s">
        <v>154</v>
      </c>
    </row>
    <row r="857" spans="1:3" ht="15.75" customHeight="1" thickBot="1" x14ac:dyDescent="0.35">
      <c r="A857" s="190">
        <v>62922</v>
      </c>
      <c r="B857" s="191" t="s">
        <v>156</v>
      </c>
      <c r="C857" s="189" t="s">
        <v>157</v>
      </c>
    </row>
    <row r="858" spans="1:3" ht="15.75" customHeight="1" thickBot="1" x14ac:dyDescent="0.35">
      <c r="A858" s="190">
        <v>62935</v>
      </c>
      <c r="B858" s="191" t="s">
        <v>161</v>
      </c>
      <c r="C858" s="189" t="s">
        <v>159</v>
      </c>
    </row>
    <row r="859" spans="1:3" ht="15.75" customHeight="1" thickBot="1" x14ac:dyDescent="0.35">
      <c r="A859" s="190">
        <v>62945</v>
      </c>
      <c r="B859" s="191" t="s">
        <v>168</v>
      </c>
      <c r="C859" s="189" t="s">
        <v>160</v>
      </c>
    </row>
    <row r="860" spans="1:3" ht="15.75" customHeight="1" thickBot="1" x14ac:dyDescent="0.35">
      <c r="A860" s="190">
        <v>62984</v>
      </c>
      <c r="B860" s="191" t="s">
        <v>161</v>
      </c>
      <c r="C860" s="189" t="s">
        <v>162</v>
      </c>
    </row>
    <row r="861" spans="1:3" ht="15.75" customHeight="1" thickBot="1" x14ac:dyDescent="0.35">
      <c r="A861" s="190">
        <v>63074</v>
      </c>
      <c r="B861" s="191" t="s">
        <v>169</v>
      </c>
      <c r="C861" s="189" t="s">
        <v>163</v>
      </c>
    </row>
    <row r="862" spans="1:3" ht="15.75" customHeight="1" thickBot="1" x14ac:dyDescent="0.35">
      <c r="A862" s="190">
        <v>63109</v>
      </c>
      <c r="B862" s="191" t="s">
        <v>169</v>
      </c>
      <c r="C862" s="189" t="s">
        <v>222</v>
      </c>
    </row>
    <row r="863" spans="1:3" ht="15.75" customHeight="1" thickBot="1" x14ac:dyDescent="0.35">
      <c r="A863" s="190">
        <v>63130</v>
      </c>
      <c r="B863" s="191" t="s">
        <v>169</v>
      </c>
      <c r="C863" s="189" t="s">
        <v>165</v>
      </c>
    </row>
    <row r="864" spans="1:3" ht="15.75" customHeight="1" thickBot="1" x14ac:dyDescent="0.35">
      <c r="A864" s="190">
        <v>63143</v>
      </c>
      <c r="B864" s="191" t="s">
        <v>155</v>
      </c>
      <c r="C864" s="189" t="s">
        <v>166</v>
      </c>
    </row>
    <row r="865" spans="1:3" ht="15.75" customHeight="1" thickBot="1" x14ac:dyDescent="0.35">
      <c r="A865" s="190">
        <v>63183</v>
      </c>
      <c r="B865" s="191" t="s">
        <v>168</v>
      </c>
      <c r="C865" s="189" t="s">
        <v>167</v>
      </c>
    </row>
    <row r="866" spans="1:3" ht="15.75" customHeight="1" thickBot="1" x14ac:dyDescent="0.35">
      <c r="A866" s="193">
        <v>63190</v>
      </c>
      <c r="B866" s="194" t="s">
        <v>168</v>
      </c>
      <c r="C866" s="186" t="s">
        <v>153</v>
      </c>
    </row>
    <row r="867" spans="1:3" ht="15.75" customHeight="1" thickBot="1" x14ac:dyDescent="0.35">
      <c r="A867" s="183">
        <v>63226</v>
      </c>
      <c r="B867" s="184" t="s">
        <v>152</v>
      </c>
      <c r="C867" s="185" t="s">
        <v>154</v>
      </c>
    </row>
    <row r="868" spans="1:3" ht="15.75" customHeight="1" thickBot="1" x14ac:dyDescent="0.35">
      <c r="A868" s="183">
        <v>63227</v>
      </c>
      <c r="B868" s="184" t="s">
        <v>155</v>
      </c>
      <c r="C868" s="186" t="s">
        <v>154</v>
      </c>
    </row>
    <row r="869" spans="1:3" ht="15.75" customHeight="1" thickBot="1" x14ac:dyDescent="0.35">
      <c r="A869" s="183">
        <v>63272</v>
      </c>
      <c r="B869" s="184" t="s">
        <v>156</v>
      </c>
      <c r="C869" s="186" t="s">
        <v>157</v>
      </c>
    </row>
    <row r="870" spans="1:3" ht="15.75" customHeight="1" thickBot="1" x14ac:dyDescent="0.35">
      <c r="A870" s="183">
        <v>63300</v>
      </c>
      <c r="B870" s="184" t="s">
        <v>156</v>
      </c>
      <c r="C870" s="186" t="s">
        <v>159</v>
      </c>
    </row>
    <row r="871" spans="1:3" ht="15.75" customHeight="1" thickBot="1" x14ac:dyDescent="0.35">
      <c r="A871" s="183">
        <v>63310</v>
      </c>
      <c r="B871" s="184" t="s">
        <v>152</v>
      </c>
      <c r="C871" s="186" t="s">
        <v>160</v>
      </c>
    </row>
    <row r="872" spans="1:3" ht="15.75" customHeight="1" thickBot="1" x14ac:dyDescent="0.35">
      <c r="A872" s="183">
        <v>63334</v>
      </c>
      <c r="B872" s="184" t="s">
        <v>161</v>
      </c>
      <c r="C872" s="186" t="s">
        <v>162</v>
      </c>
    </row>
    <row r="873" spans="1:3" ht="15.75" customHeight="1" thickBot="1" x14ac:dyDescent="0.35">
      <c r="A873" s="183">
        <v>63439</v>
      </c>
      <c r="B873" s="184" t="s">
        <v>161</v>
      </c>
      <c r="C873" s="186" t="s">
        <v>163</v>
      </c>
    </row>
    <row r="874" spans="1:3" ht="15.75" customHeight="1" thickBot="1" x14ac:dyDescent="0.35">
      <c r="A874" s="183">
        <v>63474</v>
      </c>
      <c r="B874" s="184" t="s">
        <v>161</v>
      </c>
      <c r="C874" s="186" t="s">
        <v>223</v>
      </c>
    </row>
    <row r="875" spans="1:3" ht="15.75" customHeight="1" thickBot="1" x14ac:dyDescent="0.35">
      <c r="A875" s="183">
        <v>63495</v>
      </c>
      <c r="B875" s="184" t="s">
        <v>161</v>
      </c>
      <c r="C875" s="186" t="s">
        <v>165</v>
      </c>
    </row>
    <row r="876" spans="1:3" ht="15.75" customHeight="1" thickBot="1" x14ac:dyDescent="0.35">
      <c r="A876" s="183">
        <v>63508</v>
      </c>
      <c r="B876" s="184" t="s">
        <v>169</v>
      </c>
      <c r="C876" s="186" t="s">
        <v>166</v>
      </c>
    </row>
    <row r="877" spans="1:3" ht="15.75" customHeight="1" thickBot="1" x14ac:dyDescent="0.35">
      <c r="A877" s="183">
        <v>63548</v>
      </c>
      <c r="B877" s="184" t="s">
        <v>152</v>
      </c>
      <c r="C877" s="186" t="s">
        <v>167</v>
      </c>
    </row>
    <row r="878" spans="1:3" ht="15.75" customHeight="1" thickBot="1" x14ac:dyDescent="0.35">
      <c r="A878" s="187">
        <v>63555</v>
      </c>
      <c r="B878" s="188" t="s">
        <v>152</v>
      </c>
      <c r="C878" s="189" t="s">
        <v>153</v>
      </c>
    </row>
    <row r="879" spans="1:3" ht="15.75" customHeight="1" thickBot="1" x14ac:dyDescent="0.35">
      <c r="A879" s="190">
        <v>63611</v>
      </c>
      <c r="B879" s="191" t="s">
        <v>152</v>
      </c>
      <c r="C879" s="192" t="s">
        <v>154</v>
      </c>
    </row>
    <row r="880" spans="1:3" ht="15.75" customHeight="1" thickBot="1" x14ac:dyDescent="0.35">
      <c r="A880" s="190">
        <v>63612</v>
      </c>
      <c r="B880" s="191" t="s">
        <v>155</v>
      </c>
      <c r="C880" s="189" t="s">
        <v>154</v>
      </c>
    </row>
    <row r="881" spans="1:3" ht="15.75" customHeight="1" thickBot="1" x14ac:dyDescent="0.35">
      <c r="A881" s="190">
        <v>63657</v>
      </c>
      <c r="B881" s="191" t="s">
        <v>156</v>
      </c>
      <c r="C881" s="189" t="s">
        <v>157</v>
      </c>
    </row>
    <row r="882" spans="1:3" ht="15.75" customHeight="1" thickBot="1" x14ac:dyDescent="0.35">
      <c r="A882" s="190">
        <v>63665</v>
      </c>
      <c r="B882" s="191" t="s">
        <v>158</v>
      </c>
      <c r="C882" s="189" t="s">
        <v>159</v>
      </c>
    </row>
    <row r="883" spans="1:3" ht="15.75" customHeight="1" thickBot="1" x14ac:dyDescent="0.35">
      <c r="A883" s="190">
        <v>63675</v>
      </c>
      <c r="B883" s="191" t="s">
        <v>155</v>
      </c>
      <c r="C883" s="189" t="s">
        <v>160</v>
      </c>
    </row>
    <row r="884" spans="1:3" ht="15.75" customHeight="1" thickBot="1" x14ac:dyDescent="0.35">
      <c r="A884" s="190">
        <v>63719</v>
      </c>
      <c r="B884" s="191" t="s">
        <v>161</v>
      </c>
      <c r="C884" s="189" t="s">
        <v>162</v>
      </c>
    </row>
    <row r="885" spans="1:3" ht="15.75" customHeight="1" thickBot="1" x14ac:dyDescent="0.35">
      <c r="A885" s="190">
        <v>63804</v>
      </c>
      <c r="B885" s="191" t="s">
        <v>156</v>
      </c>
      <c r="C885" s="189" t="s">
        <v>163</v>
      </c>
    </row>
    <row r="886" spans="1:3" ht="15.75" customHeight="1" thickBot="1" x14ac:dyDescent="0.35">
      <c r="A886" s="190">
        <v>63839</v>
      </c>
      <c r="B886" s="191" t="s">
        <v>156</v>
      </c>
      <c r="C886" s="189" t="s">
        <v>224</v>
      </c>
    </row>
    <row r="887" spans="1:3" ht="15.75" customHeight="1" thickBot="1" x14ac:dyDescent="0.35">
      <c r="A887" s="190">
        <v>63860</v>
      </c>
      <c r="B887" s="191" t="s">
        <v>156</v>
      </c>
      <c r="C887" s="189" t="s">
        <v>165</v>
      </c>
    </row>
    <row r="888" spans="1:3" ht="15.75" customHeight="1" thickBot="1" x14ac:dyDescent="0.35">
      <c r="A888" s="190">
        <v>63873</v>
      </c>
      <c r="B888" s="191" t="s">
        <v>161</v>
      </c>
      <c r="C888" s="189" t="s">
        <v>166</v>
      </c>
    </row>
    <row r="889" spans="1:3" ht="15.75" customHeight="1" thickBot="1" x14ac:dyDescent="0.35">
      <c r="A889" s="190">
        <v>63913</v>
      </c>
      <c r="B889" s="191" t="s">
        <v>155</v>
      </c>
      <c r="C889" s="189" t="s">
        <v>167</v>
      </c>
    </row>
    <row r="890" spans="1:3" ht="15.75" customHeight="1" thickBot="1" x14ac:dyDescent="0.35">
      <c r="A890" s="193">
        <v>63920</v>
      </c>
      <c r="B890" s="194" t="s">
        <v>155</v>
      </c>
      <c r="C890" s="186" t="s">
        <v>153</v>
      </c>
    </row>
    <row r="891" spans="1:3" ht="15.75" customHeight="1" thickBot="1" x14ac:dyDescent="0.35">
      <c r="A891" s="183">
        <v>63968</v>
      </c>
      <c r="B891" s="184" t="s">
        <v>152</v>
      </c>
      <c r="C891" s="185" t="s">
        <v>154</v>
      </c>
    </row>
    <row r="892" spans="1:3" ht="15.75" customHeight="1" thickBot="1" x14ac:dyDescent="0.35">
      <c r="A892" s="183">
        <v>63969</v>
      </c>
      <c r="B892" s="184" t="s">
        <v>155</v>
      </c>
      <c r="C892" s="186" t="s">
        <v>154</v>
      </c>
    </row>
    <row r="893" spans="1:3" ht="15.75" customHeight="1" thickBot="1" x14ac:dyDescent="0.35">
      <c r="A893" s="183">
        <v>64014</v>
      </c>
      <c r="B893" s="184" t="s">
        <v>156</v>
      </c>
      <c r="C893" s="186" t="s">
        <v>157</v>
      </c>
    </row>
    <row r="894" spans="1:3" ht="15.75" customHeight="1" thickBot="1" x14ac:dyDescent="0.35">
      <c r="A894" s="183">
        <v>64030</v>
      </c>
      <c r="B894" s="184" t="s">
        <v>168</v>
      </c>
      <c r="C894" s="186" t="s">
        <v>159</v>
      </c>
    </row>
    <row r="895" spans="1:3" ht="15.75" customHeight="1" thickBot="1" x14ac:dyDescent="0.35">
      <c r="A895" s="183">
        <v>64040</v>
      </c>
      <c r="B895" s="184" t="s">
        <v>169</v>
      </c>
      <c r="C895" s="186" t="s">
        <v>160</v>
      </c>
    </row>
    <row r="896" spans="1:3" ht="15.75" customHeight="1" thickBot="1" x14ac:dyDescent="0.35">
      <c r="A896" s="183">
        <v>64076</v>
      </c>
      <c r="B896" s="184" t="s">
        <v>161</v>
      </c>
      <c r="C896" s="186" t="s">
        <v>162</v>
      </c>
    </row>
    <row r="897" spans="1:3" ht="15.75" customHeight="1" thickBot="1" x14ac:dyDescent="0.35">
      <c r="A897" s="183">
        <v>64169</v>
      </c>
      <c r="B897" s="184" t="s">
        <v>158</v>
      </c>
      <c r="C897" s="186" t="s">
        <v>163</v>
      </c>
    </row>
    <row r="898" spans="1:3" ht="15.75" customHeight="1" thickBot="1" x14ac:dyDescent="0.35">
      <c r="A898" s="183">
        <v>64204</v>
      </c>
      <c r="B898" s="184" t="s">
        <v>158</v>
      </c>
      <c r="C898" s="186" t="s">
        <v>225</v>
      </c>
    </row>
    <row r="899" spans="1:3" ht="15.75" customHeight="1" thickBot="1" x14ac:dyDescent="0.35">
      <c r="A899" s="183">
        <v>64225</v>
      </c>
      <c r="B899" s="184" t="s">
        <v>158</v>
      </c>
      <c r="C899" s="186" t="s">
        <v>165</v>
      </c>
    </row>
    <row r="900" spans="1:3" ht="15.75" customHeight="1" thickBot="1" x14ac:dyDescent="0.35">
      <c r="A900" s="183">
        <v>64238</v>
      </c>
      <c r="B900" s="184" t="s">
        <v>156</v>
      </c>
      <c r="C900" s="186" t="s">
        <v>166</v>
      </c>
    </row>
    <row r="901" spans="1:3" ht="15.75" customHeight="1" thickBot="1" x14ac:dyDescent="0.35">
      <c r="A901" s="183">
        <v>64278</v>
      </c>
      <c r="B901" s="184" t="s">
        <v>169</v>
      </c>
      <c r="C901" s="186" t="s">
        <v>167</v>
      </c>
    </row>
    <row r="902" spans="1:3" ht="15.75" customHeight="1" thickBot="1" x14ac:dyDescent="0.35">
      <c r="A902" s="187">
        <v>64285</v>
      </c>
      <c r="B902" s="188" t="s">
        <v>169</v>
      </c>
      <c r="C902" s="189" t="s">
        <v>153</v>
      </c>
    </row>
    <row r="903" spans="1:3" ht="15.75" customHeight="1" thickBot="1" x14ac:dyDescent="0.35">
      <c r="A903" s="190">
        <v>64346</v>
      </c>
      <c r="B903" s="191" t="s">
        <v>152</v>
      </c>
      <c r="C903" s="192" t="s">
        <v>154</v>
      </c>
    </row>
    <row r="904" spans="1:3" ht="15.75" customHeight="1" thickBot="1" x14ac:dyDescent="0.35">
      <c r="A904" s="190">
        <v>64347</v>
      </c>
      <c r="B904" s="191" t="s">
        <v>155</v>
      </c>
      <c r="C904" s="189" t="s">
        <v>154</v>
      </c>
    </row>
    <row r="905" spans="1:3" ht="15.75" customHeight="1" thickBot="1" x14ac:dyDescent="0.35">
      <c r="A905" s="190">
        <v>64392</v>
      </c>
      <c r="B905" s="191" t="s">
        <v>156</v>
      </c>
      <c r="C905" s="189" t="s">
        <v>157</v>
      </c>
    </row>
    <row r="906" spans="1:3" ht="15.75" customHeight="1" thickBot="1" x14ac:dyDescent="0.35">
      <c r="A906" s="190">
        <v>64396</v>
      </c>
      <c r="B906" s="191" t="s">
        <v>155</v>
      </c>
      <c r="C906" s="189" t="s">
        <v>159</v>
      </c>
    </row>
    <row r="907" spans="1:3" ht="15.75" customHeight="1" thickBot="1" x14ac:dyDescent="0.35">
      <c r="A907" s="190">
        <v>64406</v>
      </c>
      <c r="B907" s="191" t="s">
        <v>156</v>
      </c>
      <c r="C907" s="189" t="s">
        <v>160</v>
      </c>
    </row>
    <row r="908" spans="1:3" ht="15.75" customHeight="1" thickBot="1" x14ac:dyDescent="0.35">
      <c r="A908" s="190">
        <v>64454</v>
      </c>
      <c r="B908" s="191" t="s">
        <v>161</v>
      </c>
      <c r="C908" s="189" t="s">
        <v>162</v>
      </c>
    </row>
    <row r="909" spans="1:3" ht="15.75" customHeight="1" thickBot="1" x14ac:dyDescent="0.35">
      <c r="A909" s="190">
        <v>64535</v>
      </c>
      <c r="B909" s="191" t="s">
        <v>152</v>
      </c>
      <c r="C909" s="189" t="s">
        <v>163</v>
      </c>
    </row>
    <row r="910" spans="1:3" ht="15.75" customHeight="1" thickBot="1" x14ac:dyDescent="0.35">
      <c r="A910" s="190">
        <v>64570</v>
      </c>
      <c r="B910" s="191" t="s">
        <v>152</v>
      </c>
      <c r="C910" s="189" t="s">
        <v>225</v>
      </c>
    </row>
    <row r="911" spans="1:3" ht="15.75" customHeight="1" thickBot="1" x14ac:dyDescent="0.35">
      <c r="A911" s="190">
        <v>64591</v>
      </c>
      <c r="B911" s="191" t="s">
        <v>152</v>
      </c>
      <c r="C911" s="189" t="s">
        <v>165</v>
      </c>
    </row>
    <row r="912" spans="1:3" ht="15.75" customHeight="1" thickBot="1" x14ac:dyDescent="0.35">
      <c r="A912" s="190">
        <v>64604</v>
      </c>
      <c r="B912" s="191" t="s">
        <v>168</v>
      </c>
      <c r="C912" s="189" t="s">
        <v>166</v>
      </c>
    </row>
    <row r="913" spans="1:3" ht="15.75" customHeight="1" thickBot="1" x14ac:dyDescent="0.35">
      <c r="A913" s="190">
        <v>64644</v>
      </c>
      <c r="B913" s="191" t="s">
        <v>156</v>
      </c>
      <c r="C913" s="189" t="s">
        <v>167</v>
      </c>
    </row>
    <row r="914" spans="1:3" ht="15.75" customHeight="1" thickBot="1" x14ac:dyDescent="0.35">
      <c r="A914" s="193">
        <v>64651</v>
      </c>
      <c r="B914" s="194" t="s">
        <v>156</v>
      </c>
      <c r="C914" s="186" t="s">
        <v>153</v>
      </c>
    </row>
    <row r="915" spans="1:3" ht="15.75" customHeight="1" thickBot="1" x14ac:dyDescent="0.35">
      <c r="A915" s="183">
        <v>64703</v>
      </c>
      <c r="B915" s="184" t="s">
        <v>152</v>
      </c>
      <c r="C915" s="185" t="s">
        <v>154</v>
      </c>
    </row>
    <row r="916" spans="1:3" ht="15.75" customHeight="1" thickBot="1" x14ac:dyDescent="0.35">
      <c r="A916" s="183">
        <v>64704</v>
      </c>
      <c r="B916" s="184" t="s">
        <v>155</v>
      </c>
      <c r="C916" s="186" t="s">
        <v>154</v>
      </c>
    </row>
    <row r="917" spans="1:3" ht="15.75" customHeight="1" thickBot="1" x14ac:dyDescent="0.35">
      <c r="A917" s="183">
        <v>64749</v>
      </c>
      <c r="B917" s="184" t="s">
        <v>156</v>
      </c>
      <c r="C917" s="186" t="s">
        <v>157</v>
      </c>
    </row>
    <row r="918" spans="1:3" ht="15.75" customHeight="1" thickBot="1" x14ac:dyDescent="0.35">
      <c r="A918" s="183">
        <v>64761</v>
      </c>
      <c r="B918" s="184" t="s">
        <v>169</v>
      </c>
      <c r="C918" s="186" t="s">
        <v>159</v>
      </c>
    </row>
    <row r="919" spans="1:3" ht="15.75" customHeight="1" thickBot="1" x14ac:dyDescent="0.35">
      <c r="A919" s="183">
        <v>64771</v>
      </c>
      <c r="B919" s="184" t="s">
        <v>158</v>
      </c>
      <c r="C919" s="186" t="s">
        <v>160</v>
      </c>
    </row>
    <row r="920" spans="1:3" ht="15.75" customHeight="1" thickBot="1" x14ac:dyDescent="0.35">
      <c r="A920" s="183">
        <v>64811</v>
      </c>
      <c r="B920" s="184" t="s">
        <v>161</v>
      </c>
      <c r="C920" s="186" t="s">
        <v>162</v>
      </c>
    </row>
    <row r="921" spans="1:3" ht="15.75" customHeight="1" thickBot="1" x14ac:dyDescent="0.35">
      <c r="A921" s="183">
        <v>64900</v>
      </c>
      <c r="B921" s="184" t="s">
        <v>155</v>
      </c>
      <c r="C921" s="186" t="s">
        <v>163</v>
      </c>
    </row>
    <row r="922" spans="1:3" ht="15.75" customHeight="1" thickBot="1" x14ac:dyDescent="0.35">
      <c r="A922" s="183">
        <v>64935</v>
      </c>
      <c r="B922" s="184" t="s">
        <v>155</v>
      </c>
      <c r="C922" s="186" t="s">
        <v>226</v>
      </c>
    </row>
    <row r="923" spans="1:3" ht="15.75" customHeight="1" thickBot="1" x14ac:dyDescent="0.35">
      <c r="A923" s="183">
        <v>64956</v>
      </c>
      <c r="B923" s="184" t="s">
        <v>155</v>
      </c>
      <c r="C923" s="186" t="s">
        <v>165</v>
      </c>
    </row>
    <row r="924" spans="1:3" ht="15.75" customHeight="1" thickBot="1" x14ac:dyDescent="0.35">
      <c r="A924" s="183">
        <v>64969</v>
      </c>
      <c r="B924" s="184" t="s">
        <v>152</v>
      </c>
      <c r="C924" s="186" t="s">
        <v>166</v>
      </c>
    </row>
    <row r="925" spans="1:3" ht="15.75" customHeight="1" thickBot="1" x14ac:dyDescent="0.35">
      <c r="A925" s="183">
        <v>65009</v>
      </c>
      <c r="B925" s="184" t="s">
        <v>158</v>
      </c>
      <c r="C925" s="186" t="s">
        <v>167</v>
      </c>
    </row>
    <row r="926" spans="1:3" ht="15.75" customHeight="1" thickBot="1" x14ac:dyDescent="0.35">
      <c r="A926" s="187">
        <v>65016</v>
      </c>
      <c r="B926" s="188" t="s">
        <v>155</v>
      </c>
      <c r="C926" s="189" t="s">
        <v>153</v>
      </c>
    </row>
    <row r="927" spans="1:3" ht="15.75" customHeight="1" thickBot="1" x14ac:dyDescent="0.35">
      <c r="A927" s="190">
        <v>65060</v>
      </c>
      <c r="B927" s="191" t="s">
        <v>152</v>
      </c>
      <c r="C927" s="192" t="s">
        <v>154</v>
      </c>
    </row>
    <row r="928" spans="1:3" ht="15.75" customHeight="1" thickBot="1" x14ac:dyDescent="0.35">
      <c r="A928" s="190">
        <v>65061</v>
      </c>
      <c r="B928" s="191" t="s">
        <v>155</v>
      </c>
      <c r="C928" s="189" t="s">
        <v>154</v>
      </c>
    </row>
    <row r="929" spans="1:3" ht="15.75" customHeight="1" thickBot="1" x14ac:dyDescent="0.35">
      <c r="A929" s="190">
        <v>65106</v>
      </c>
      <c r="B929" s="191" t="s">
        <v>156</v>
      </c>
      <c r="C929" s="189" t="s">
        <v>157</v>
      </c>
    </row>
    <row r="930" spans="1:3" ht="15.75" customHeight="1" thickBot="1" x14ac:dyDescent="0.35">
      <c r="A930" s="190">
        <v>65126</v>
      </c>
      <c r="B930" s="191" t="s">
        <v>161</v>
      </c>
      <c r="C930" s="189" t="s">
        <v>159</v>
      </c>
    </row>
    <row r="931" spans="1:3" ht="15.75" customHeight="1" thickBot="1" x14ac:dyDescent="0.35">
      <c r="A931" s="190">
        <v>65136</v>
      </c>
      <c r="B931" s="191" t="s">
        <v>169</v>
      </c>
      <c r="C931" s="189" t="s">
        <v>160</v>
      </c>
    </row>
    <row r="932" spans="1:3" ht="15.75" customHeight="1" thickBot="1" x14ac:dyDescent="0.35">
      <c r="A932" s="190">
        <v>65168</v>
      </c>
      <c r="B932" s="191" t="s">
        <v>161</v>
      </c>
      <c r="C932" s="189" t="s">
        <v>162</v>
      </c>
    </row>
    <row r="933" spans="1:3" ht="15.75" customHeight="1" thickBot="1" x14ac:dyDescent="0.35">
      <c r="A933" s="190">
        <v>65265</v>
      </c>
      <c r="B933" s="191" t="s">
        <v>169</v>
      </c>
      <c r="C933" s="189" t="s">
        <v>163</v>
      </c>
    </row>
    <row r="934" spans="1:3" ht="15.75" customHeight="1" thickBot="1" x14ac:dyDescent="0.35">
      <c r="A934" s="190">
        <v>65300</v>
      </c>
      <c r="B934" s="191" t="s">
        <v>169</v>
      </c>
      <c r="C934" s="189" t="s">
        <v>227</v>
      </c>
    </row>
    <row r="935" spans="1:3" ht="15.75" customHeight="1" thickBot="1" x14ac:dyDescent="0.35">
      <c r="A935" s="190">
        <v>65321</v>
      </c>
      <c r="B935" s="191" t="s">
        <v>169</v>
      </c>
      <c r="C935" s="189" t="s">
        <v>165</v>
      </c>
    </row>
    <row r="936" spans="1:3" ht="15.75" customHeight="1" thickBot="1" x14ac:dyDescent="0.35">
      <c r="A936" s="190">
        <v>65334</v>
      </c>
      <c r="B936" s="191" t="s">
        <v>155</v>
      </c>
      <c r="C936" s="189" t="s">
        <v>166</v>
      </c>
    </row>
    <row r="937" spans="1:3" ht="15.75" customHeight="1" thickBot="1" x14ac:dyDescent="0.35">
      <c r="A937" s="190">
        <v>65374</v>
      </c>
      <c r="B937" s="191" t="s">
        <v>169</v>
      </c>
      <c r="C937" s="189" t="s">
        <v>167</v>
      </c>
    </row>
    <row r="938" spans="1:3" ht="15" customHeight="1" x14ac:dyDescent="0.3">
      <c r="A938" s="195" t="s">
        <v>228</v>
      </c>
      <c r="B938" s="196"/>
      <c r="C938" s="196"/>
    </row>
  </sheetData>
  <sheetProtection selectLockedCells="1" selectUnlockedCells="1"/>
  <pageMargins left="0.51180555555555551" right="0.51180555555555551" top="0.78749999999999998" bottom="0.78749999999999998" header="0.51180555555555551" footer="0.51180555555555551"/>
  <pageSetup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26</vt:i4>
      </vt:variant>
    </vt:vector>
  </HeadingPairs>
  <TitlesOfParts>
    <vt:vector size="33" baseType="lpstr">
      <vt:lpstr>Calculadora de Opções</vt:lpstr>
      <vt:lpstr>Estratégias de Opções</vt:lpstr>
      <vt:lpstr>Exercício de Opções</vt:lpstr>
      <vt:lpstr>Volatilidade Implícita</vt:lpstr>
      <vt:lpstr>Modelo Binomial</vt:lpstr>
      <vt:lpstr>Monte Carlo</vt:lpstr>
      <vt:lpstr>Feriados</vt:lpstr>
      <vt:lpstr>barreira</vt:lpstr>
      <vt:lpstr>estilo</vt:lpstr>
      <vt:lpstr>Feriados</vt:lpstr>
      <vt:lpstr>H</vt:lpstr>
      <vt:lpstr>i</vt:lpstr>
      <vt:lpstr>modelo</vt:lpstr>
      <vt:lpstr>'Monte Carlo'!n</vt:lpstr>
      <vt:lpstr>n</vt:lpstr>
      <vt:lpstr>nsim</vt:lpstr>
      <vt:lpstr>p</vt:lpstr>
      <vt:lpstr>premioBinomial</vt:lpstr>
      <vt:lpstr>premioBSchiles</vt:lpstr>
      <vt:lpstr>'Calculadora de Opções'!q</vt:lpstr>
      <vt:lpstr>'Monte Carlo'!q</vt:lpstr>
      <vt:lpstr>rf</vt:lpstr>
      <vt:lpstr>'Calculadora de Opções'!S</vt:lpstr>
      <vt:lpstr>'Monte Carlo'!S</vt:lpstr>
      <vt:lpstr>'Calculadora de Opções'!T</vt:lpstr>
      <vt:lpstr>'Monte Carlo'!T</vt:lpstr>
      <vt:lpstr>'Calculadora de Opções'!tipo</vt:lpstr>
      <vt:lpstr>'Monte Carlo'!tipo</vt:lpstr>
      <vt:lpstr>'Calculadora de Opções'!vol</vt:lpstr>
      <vt:lpstr>'Monte Carlo'!vol</vt:lpstr>
      <vt:lpstr>volImp</vt:lpstr>
      <vt:lpstr>'Calculadora de Opções'!X</vt:lpstr>
      <vt:lpstr>'Monte Carlo'!X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Alvares Rezende de Souza</dc:creator>
  <cp:lastModifiedBy>Marcelo Horita</cp:lastModifiedBy>
  <cp:lastPrinted>2017-03-07T10:37:13Z</cp:lastPrinted>
  <dcterms:created xsi:type="dcterms:W3CDTF">1999-04-13T13:45:24Z</dcterms:created>
  <dcterms:modified xsi:type="dcterms:W3CDTF">2025-12-08T00:11:42Z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1b92c3a7-a1c0-49fa-938f-8d03cf56131c</vt:lpwstr>
  </property>
</Properties>
</file>