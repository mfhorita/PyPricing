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eu Drive\Projetos\PyPricing\pypricing\Models\BasketLevy\"/>
    </mc:Choice>
  </mc:AlternateContent>
  <xr:revisionPtr revIDLastSave="0" documentId="8_{AD25DE0E-78C6-445D-8E3D-883A4C5C4564}" xr6:coauthVersionLast="47" xr6:coauthVersionMax="47" xr10:uidLastSave="{00000000-0000-0000-0000-000000000000}"/>
  <bookViews>
    <workbookView xWindow="-108" yWindow="-108" windowWidth="23256" windowHeight="13896" xr2:uid="{D14CD838-C6D7-48FA-A8A0-73D30B59210C}"/>
  </bookViews>
  <sheets>
    <sheet name="Sheet1" sheetId="1" r:id="rId1"/>
  </sheets>
  <definedNames>
    <definedName name="correl">Sheet1!$K$8:$M$10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" i="1" l="1"/>
  <c r="U3" i="1"/>
  <c r="U2" i="1"/>
  <c r="Q2" i="1"/>
  <c r="H4" i="1"/>
  <c r="M4" i="1" s="1"/>
  <c r="H3" i="1"/>
  <c r="M3" i="1" s="1"/>
  <c r="H2" i="1"/>
  <c r="M2" i="1" s="1"/>
  <c r="W4" i="1" l="1"/>
  <c r="W3" i="1"/>
  <c r="W2" i="1"/>
  <c r="N4" i="1"/>
  <c r="N3" i="1"/>
  <c r="N2" i="1"/>
  <c r="X2" i="1" a="1"/>
  <c r="Z2" i="1" a="1"/>
  <c r="AA2" i="1" a="1"/>
  <c r="AC2" i="1" a="1"/>
  <c r="AB2" i="1" a="1"/>
  <c r="X2" i="1" l="1"/>
  <c r="AB2" i="1"/>
  <c r="AC2" i="1"/>
  <c r="AA2" i="1"/>
  <c r="Z2" i="1"/>
  <c r="Y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<sst xmlns="http://schemas.openxmlformats.org/spreadsheetml/2006/main" count="42" uniqueCount="35">
  <si>
    <t>COE</t>
  </si>
  <si>
    <t>Notional</t>
  </si>
  <si>
    <t>Produto</t>
  </si>
  <si>
    <t>Ativo</t>
  </si>
  <si>
    <t>NVDA</t>
  </si>
  <si>
    <t>MSFT</t>
  </si>
  <si>
    <t>AAPL</t>
  </si>
  <si>
    <t>Peso</t>
  </si>
  <si>
    <t>K</t>
  </si>
  <si>
    <t>r</t>
  </si>
  <si>
    <t>T</t>
  </si>
  <si>
    <t>Vol</t>
  </si>
  <si>
    <t>DtRef</t>
  </si>
  <si>
    <t>DtInicio</t>
  </si>
  <si>
    <t>DtFixing</t>
  </si>
  <si>
    <t>DtVencto</t>
  </si>
  <si>
    <t>DU</t>
  </si>
  <si>
    <t>q1</t>
  </si>
  <si>
    <t>CALL</t>
  </si>
  <si>
    <t>Vol_USD</t>
  </si>
  <si>
    <t>USD</t>
  </si>
  <si>
    <t>Correl_USD</t>
  </si>
  <si>
    <t>MtM</t>
  </si>
  <si>
    <t>CPA/VDA</t>
  </si>
  <si>
    <t>Strike</t>
  </si>
  <si>
    <t>Qtde</t>
  </si>
  <si>
    <t>LiborUSD</t>
  </si>
  <si>
    <t>Aderência</t>
  </si>
  <si>
    <t>MtM_S_5</t>
  </si>
  <si>
    <t>C</t>
  </si>
  <si>
    <t>MtM_S_N5</t>
  </si>
  <si>
    <t>MtM_S_20</t>
  </si>
  <si>
    <t>MtM_S_N20</t>
  </si>
  <si>
    <r>
      <t>Preço(t</t>
    </r>
    <r>
      <rPr>
        <b/>
        <vertAlign val="subscript"/>
        <sz val="11"/>
        <color theme="0" tint="-0.14999847407452621"/>
        <rFont val="Calibri"/>
        <family val="2"/>
        <scheme val="minor"/>
      </rPr>
      <t>ini</t>
    </r>
    <r>
      <rPr>
        <b/>
        <sz val="11"/>
        <color theme="0" tint="-0.14999847407452621"/>
        <rFont val="Calibri"/>
        <family val="2"/>
        <scheme val="minor"/>
      </rPr>
      <t>)</t>
    </r>
  </si>
  <si>
    <r>
      <t>Preço(t</t>
    </r>
    <r>
      <rPr>
        <b/>
        <vertAlign val="subscript"/>
        <sz val="11"/>
        <color theme="0" tint="-0.14999847407452621"/>
        <rFont val="Calibri"/>
        <family val="2"/>
        <scheme val="minor"/>
      </rPr>
      <t>ref</t>
    </r>
    <r>
      <rPr>
        <b/>
        <sz val="11"/>
        <color theme="0" tint="-0.1499984740745262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</si>
</sst>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00_-;\-* #,##0.0000_-;_-* &quot;-&quot;??_-;_-@_-"/>
    <numFmt numFmtId="166" formatCode="_-* #,##0.0000000_-;\-* #,##0.0000000_-;_-* &quot;-&quot;??_-;_-@_-"/>
    <numFmt numFmtId="167" formatCode="_-* #,##0.00000000_-;\-* #,##0.000000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vertAlign val="subscript"/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hair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hair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hair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hair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indexed="64"/>
      </top>
      <bottom style="hair">
        <color theme="0" tint="-0.14993743705557422"/>
      </bottom>
      <diagonal/>
    </border>
    <border>
      <left/>
      <right style="thin">
        <color theme="0" tint="-0.14993743705557422"/>
      </right>
      <top style="hair">
        <color theme="0" tint="-0.14993743705557422"/>
      </top>
      <bottom style="hair">
        <color theme="0" tint="-0.14993743705557422"/>
      </bottom>
      <diagonal/>
    </border>
    <border>
      <left/>
      <right style="thin">
        <color theme="0" tint="-0.14993743705557422"/>
      </right>
      <top style="hair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left" vertical="center"/>
    </xf>
    <xf numFmtId="10" fontId="0" fillId="0" borderId="0" xfId="2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43" fontId="0" fillId="0" borderId="4" xfId="1" applyFont="1" applyBorder="1" applyAlignment="1">
      <alignment horizontal="left" vertical="center"/>
    </xf>
    <xf numFmtId="43" fontId="0" fillId="0" borderId="4" xfId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4" xfId="0" applyNumberFormat="1" applyBorder="1" applyAlignment="1">
      <alignment vertical="center"/>
    </xf>
    <xf numFmtId="10" fontId="0" fillId="0" borderId="4" xfId="2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43" fontId="0" fillId="0" borderId="5" xfId="1" applyFont="1" applyBorder="1" applyAlignment="1">
      <alignment horizontal="right" vertical="center"/>
    </xf>
    <xf numFmtId="43" fontId="0" fillId="0" borderId="5" xfId="1" applyFon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10" fontId="0" fillId="0" borderId="5" xfId="0" applyNumberFormat="1" applyBorder="1" applyAlignment="1">
      <alignment vertical="center"/>
    </xf>
    <xf numFmtId="10" fontId="0" fillId="0" borderId="5" xfId="2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9" fontId="0" fillId="0" borderId="6" xfId="2" applyFont="1" applyBorder="1" applyAlignment="1">
      <alignment horizontal="center" vertical="center"/>
    </xf>
    <xf numFmtId="43" fontId="0" fillId="0" borderId="6" xfId="1" applyFont="1" applyBorder="1" applyAlignment="1">
      <alignment horizontal="left" vertical="center"/>
    </xf>
    <xf numFmtId="43" fontId="1" fillId="0" borderId="6" xfId="1" applyFont="1" applyBorder="1" applyAlignment="1">
      <alignment horizontal="center" vertical="center"/>
    </xf>
    <xf numFmtId="43" fontId="0" fillId="0" borderId="6" xfId="1" applyFont="1" applyBorder="1" applyAlignment="1">
      <alignment horizontal="center" vertical="center"/>
    </xf>
    <xf numFmtId="10" fontId="0" fillId="0" borderId="6" xfId="0" applyNumberFormat="1" applyBorder="1" applyAlignment="1">
      <alignment horizontal="center" vertical="center"/>
    </xf>
    <xf numFmtId="10" fontId="0" fillId="0" borderId="6" xfId="0" applyNumberFormat="1" applyBorder="1" applyAlignment="1">
      <alignment vertical="center"/>
    </xf>
    <xf numFmtId="10" fontId="0" fillId="0" borderId="6" xfId="2" applyNumberFormat="1" applyFont="1" applyBorder="1" applyAlignment="1">
      <alignment horizontal="center" vertical="center"/>
    </xf>
    <xf numFmtId="166" fontId="4" fillId="0" borderId="7" xfId="1" applyNumberFormat="1" applyFont="1" applyBorder="1" applyAlignment="1">
      <alignment horizontal="left" vertical="center"/>
    </xf>
    <xf numFmtId="166" fontId="4" fillId="0" borderId="8" xfId="1" applyNumberFormat="1" applyFont="1" applyBorder="1" applyAlignment="1">
      <alignment horizontal="left" vertical="center"/>
    </xf>
    <xf numFmtId="166" fontId="4" fillId="0" borderId="9" xfId="1" applyNumberFormat="1" applyFont="1" applyBorder="1" applyAlignment="1">
      <alignment horizontal="left" vertical="center"/>
    </xf>
    <xf numFmtId="166" fontId="4" fillId="0" borderId="10" xfId="1" applyNumberFormat="1" applyFont="1" applyBorder="1" applyAlignment="1">
      <alignment horizontal="left" vertical="center"/>
    </xf>
    <xf numFmtId="166" fontId="4" fillId="0" borderId="11" xfId="1" applyNumberFormat="1" applyFont="1" applyBorder="1" applyAlignment="1">
      <alignment horizontal="left" vertical="center"/>
    </xf>
    <xf numFmtId="166" fontId="4" fillId="0" borderId="12" xfId="1" applyNumberFormat="1" applyFont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166" fontId="4" fillId="0" borderId="16" xfId="1" applyNumberFormat="1" applyFont="1" applyBorder="1" applyAlignment="1">
      <alignment horizontal="left" vertical="center"/>
    </xf>
    <xf numFmtId="166" fontId="4" fillId="0" borderId="17" xfId="1" applyNumberFormat="1" applyFont="1" applyBorder="1" applyAlignment="1">
      <alignment horizontal="left" vertical="center"/>
    </xf>
    <xf numFmtId="166" fontId="4" fillId="0" borderId="18" xfId="1" applyNumberFormat="1" applyFont="1" applyBorder="1" applyAlignment="1">
      <alignment horizontal="left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43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3" borderId="4" xfId="1" applyNumberFormat="1" applyFont="1" applyFill="1" applyBorder="1" applyAlignment="1">
      <alignment horizontal="center" vertical="center"/>
    </xf>
    <xf numFmtId="165" fontId="0" fillId="3" borderId="5" xfId="1" applyNumberFormat="1" applyFont="1" applyFill="1" applyBorder="1" applyAlignment="1">
      <alignment horizontal="center" vertical="center"/>
    </xf>
    <xf numFmtId="165" fontId="0" fillId="3" borderId="6" xfId="1" applyNumberFormat="1" applyFont="1" applyFill="1" applyBorder="1" applyAlignment="1">
      <alignment horizontal="center" vertical="center"/>
    </xf>
    <xf numFmtId="167" fontId="0" fillId="0" borderId="4" xfId="1" applyNumberFormat="1" applyFont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 vertical="center"/>
    </xf>
    <xf numFmtId="167" fontId="0" fillId="0" borderId="6" xfId="1" applyNumberFormat="1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9" fontId="0" fillId="0" borderId="6" xfId="2" applyFont="1" applyBorder="1" applyAlignment="1">
      <alignment horizontal="center" vertical="center"/>
    </xf>
    <xf numFmtId="43" fontId="0" fillId="0" borderId="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0" fillId="0" borderId="6" xfId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164" fontId="0" fillId="0" borderId="5" xfId="1" applyNumberFormat="1" applyFont="1" applyBorder="1" applyAlignment="1">
      <alignment horizontal="center" vertical="center"/>
    </xf>
    <xf numFmtId="164" fontId="0" fillId="0" borderId="6" xfId="1" applyNumberFormat="1" applyFont="1" applyBorder="1" applyAlignment="1">
      <alignment horizontal="center" vertical="center"/>
    </xf>
    <xf numFmtId="0" fontId="0" fillId="0" borderId="4" xfId="1" applyNumberFormat="1" applyFont="1" applyBorder="1" applyAlignment="1">
      <alignment horizontal="center" vertical="center"/>
    </xf>
    <xf numFmtId="0" fontId="0" fillId="0" borderId="5" xfId="1" applyNumberFormat="1" applyFont="1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0C4D-691F-4912-8027-222445846C4F}">
  <sheetPr codeName="Sheet1"/>
  <dimension ref="A1:AC11"/>
  <sheetViews>
    <sheetView showGridLines="0" tabSelected="1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P2" sqref="P2:P4"/>
    </sheetView>
  </sheetViews>
  <sheetFormatPr defaultRowHeight="14.4" x14ac:dyDescent="0.3"/>
  <cols>
    <col min="1" max="1" width="7.88671875" style="1" bestFit="1" customWidth="1"/>
    <col min="2" max="2" width="10.5546875" style="1" bestFit="1" customWidth="1"/>
    <col min="3" max="3" width="10.44140625" style="1" bestFit="1" customWidth="1"/>
    <col min="4" max="4" width="9" style="1" bestFit="1" customWidth="1"/>
    <col min="5" max="5" width="9.44140625" style="1" bestFit="1" customWidth="1"/>
    <col min="6" max="6" width="5.77734375" style="1" bestFit="1" customWidth="1"/>
    <col min="7" max="7" width="9.109375" style="1" bestFit="1" customWidth="1"/>
    <col min="8" max="8" width="5" style="1" bestFit="1" customWidth="1"/>
    <col min="9" max="9" width="9.33203125" style="1" bestFit="1" customWidth="1"/>
    <col min="10" max="14" width="10.5546875" style="1" bestFit="1" customWidth="1"/>
    <col min="15" max="15" width="5.33203125" style="1" bestFit="1" customWidth="1"/>
    <col min="16" max="16" width="5.88671875" style="1" bestFit="1" customWidth="1"/>
    <col min="17" max="17" width="5.77734375" style="1" bestFit="1" customWidth="1"/>
    <col min="18" max="18" width="4" style="1" bestFit="1" customWidth="1"/>
    <col min="19" max="19" width="6.88671875" style="1" bestFit="1" customWidth="1"/>
    <col min="20" max="20" width="8.33203125" style="1" bestFit="1" customWidth="1"/>
    <col min="21" max="21" width="10.5546875" style="1" bestFit="1" customWidth="1"/>
    <col min="22" max="22" width="11.77734375" style="1" bestFit="1" customWidth="1"/>
    <col min="23" max="23" width="5.88671875" style="1" bestFit="1" customWidth="1"/>
    <col min="24" max="24" width="8.77734375" style="1" bestFit="1" customWidth="1"/>
    <col min="25" max="30" width="12.88671875" style="1" bestFit="1" customWidth="1"/>
    <col min="31" max="16384" width="8.88671875" style="1"/>
  </cols>
  <sheetData>
    <row r="1" spans="1:29" ht="15.6" x14ac:dyDescent="0.3">
      <c r="A1" s="3" t="s">
        <v>2</v>
      </c>
      <c r="B1" s="4" t="s">
        <v>12</v>
      </c>
      <c r="C1" s="4" t="s">
        <v>1</v>
      </c>
      <c r="D1" s="4" t="s">
        <v>23</v>
      </c>
      <c r="E1" s="4" t="s">
        <v>27</v>
      </c>
      <c r="F1" s="4" t="s">
        <v>3</v>
      </c>
      <c r="G1" s="4" t="s">
        <v>33</v>
      </c>
      <c r="H1" s="4" t="s">
        <v>7</v>
      </c>
      <c r="I1" s="4" t="s">
        <v>34</v>
      </c>
      <c r="J1" s="4" t="s">
        <v>13</v>
      </c>
      <c r="K1" s="4" t="s">
        <v>14</v>
      </c>
      <c r="L1" s="4" t="s">
        <v>15</v>
      </c>
      <c r="M1" s="4" t="s">
        <v>25</v>
      </c>
      <c r="N1" s="4" t="s">
        <v>24</v>
      </c>
      <c r="O1" s="4" t="s">
        <v>8</v>
      </c>
      <c r="P1" s="4" t="s">
        <v>9</v>
      </c>
      <c r="Q1" s="4" t="s">
        <v>10</v>
      </c>
      <c r="R1" s="4" t="s">
        <v>16</v>
      </c>
      <c r="S1" s="4" t="s">
        <v>11</v>
      </c>
      <c r="T1" s="4" t="s">
        <v>19</v>
      </c>
      <c r="U1" s="4" t="s">
        <v>21</v>
      </c>
      <c r="V1" s="4" t="s">
        <v>26</v>
      </c>
      <c r="W1" s="4" t="s">
        <v>17</v>
      </c>
      <c r="X1" s="4" t="s">
        <v>18</v>
      </c>
      <c r="Y1" s="4" t="s">
        <v>22</v>
      </c>
      <c r="Z1" s="4" t="s">
        <v>28</v>
      </c>
      <c r="AA1" s="4" t="s">
        <v>30</v>
      </c>
      <c r="AB1" s="4" t="s">
        <v>31</v>
      </c>
      <c r="AC1" s="5" t="s">
        <v>32</v>
      </c>
    </row>
    <row r="2" spans="1:29" x14ac:dyDescent="0.3">
      <c r="A2" s="67" t="s">
        <v>0</v>
      </c>
      <c r="B2" s="68">
        <v>44420</v>
      </c>
      <c r="C2" s="61">
        <v>5860500</v>
      </c>
      <c r="D2" s="61" t="s">
        <v>29</v>
      </c>
      <c r="E2" s="52">
        <v>1.5</v>
      </c>
      <c r="F2" s="6" t="s">
        <v>4</v>
      </c>
      <c r="G2" s="8">
        <v>138.82</v>
      </c>
      <c r="H2" s="7">
        <f>1/3</f>
        <v>0.33333333333333331</v>
      </c>
      <c r="I2" s="8">
        <v>199.18</v>
      </c>
      <c r="J2" s="68">
        <v>43329</v>
      </c>
      <c r="K2" s="68">
        <v>45152</v>
      </c>
      <c r="L2" s="68">
        <v>45155</v>
      </c>
      <c r="M2" s="9">
        <f>(SUM(G$2:$G$4)*H2/G2)</f>
        <v>1.1786005858906017</v>
      </c>
      <c r="N2" s="9">
        <f>M2/SUM($M$2:$M$4)*G2</f>
        <v>50.562678694715856</v>
      </c>
      <c r="O2" s="61">
        <v>100</v>
      </c>
      <c r="P2" s="58">
        <v>8.3629999999999996E-2</v>
      </c>
      <c r="Q2" s="55">
        <f>(K2-B2)/360</f>
        <v>2.0333333333333332</v>
      </c>
      <c r="R2" s="64">
        <v>503</v>
      </c>
      <c r="S2" s="10">
        <v>0.42530000000000001</v>
      </c>
      <c r="T2" s="11">
        <v>0.16520000000000001</v>
      </c>
      <c r="U2" s="12">
        <f>N8</f>
        <v>-4.5835550000000003E-2</v>
      </c>
      <c r="V2" s="49">
        <v>1.00632338</v>
      </c>
      <c r="W2" s="12">
        <f>LN(1+($V$2^(252/$R$2)-1)*$Q$2)*(1/$Q$2)-(S2*T2*U2)</f>
        <v>6.3732509818418348E-3</v>
      </c>
      <c r="X2" s="46" cm="1">
        <f t="array" ref="X2">BasketLevy("C",$H$2:$H$4,$I$2:$I$4,$G$2:$G$4,$O$2,$W$2:$W$4,$P$2,$Q$2,correl,$S$2:$S$4,1)</f>
        <v>50.402394167019636</v>
      </c>
      <c r="Y2" s="43">
        <f>($X$2*$C$2*IF($D$2="V",-1,1))/SUM($N$2:$N$4)*$E$2</f>
        <v>2920961.0590378805</v>
      </c>
      <c r="Z2" s="43" cm="1">
        <f t="array" ref="Z2">(BasketLevy("C",$H$2:$H$4,$I$2:$I$4,$G$2:$G$4,$O$2,$W$2:$W$4,$P$2,$Q$2,correl,$S$2:$S$4,1.05)*$C$2*IF($D$2="V",-1,1))/SUM($N$2:$N$4)*$E$2</f>
        <v>3322978.4598840922</v>
      </c>
      <c r="AA2" s="43" cm="1">
        <f t="array" ref="AA2">(BasketLevy("C",$H$2:$H$4,$I$2:$I$4,$G$2:$G$4,$O$2,$W$2:$W$4,$P$2,$Q$2,correl,$S$2:$S$4,0.95)*$C$2*IF($D$2="V",-1,1))/SUM($N$2:$N$4)*$E$2</f>
        <v>2534772.8172378386</v>
      </c>
      <c r="AB2" s="43" cm="1">
        <f t="array" ref="AB2">(BasketLevy("C",$H$2:$H$4,$I$2:$I$4,$G$2:$G$4,$O$2,$W$2:$W$4,$P$2,$Q$2,correl,$S$2:$S$4,1.2)*$C$2*IF($D$2="V",-1,1))/SUM($N$2:$N$4)*$E$2</f>
        <v>4602661.952563582</v>
      </c>
      <c r="AC2" s="43" cm="1">
        <f t="array" ref="AC2">(BasketLevy("C",$H$2:$H$4,$I$2:$I$4,$G$2:$G$4,$O$2,$W$2:$W$4,$P$2,$Q$2,correl,$S$2:$S$4,0.8)*$C$2*IF($D$2="V",-1,1))/SUM($N$2:$N$4)*$E$2</f>
        <v>1497592.5183133488</v>
      </c>
    </row>
    <row r="3" spans="1:29" x14ac:dyDescent="0.3">
      <c r="A3" s="44"/>
      <c r="B3" s="44"/>
      <c r="C3" s="62"/>
      <c r="D3" s="62"/>
      <c r="E3" s="53"/>
      <c r="F3" s="13" t="s">
        <v>5</v>
      </c>
      <c r="G3" s="15">
        <v>230.63</v>
      </c>
      <c r="H3" s="14">
        <f>1/3</f>
        <v>0.33333333333333331</v>
      </c>
      <c r="I3" s="15">
        <v>289.64999999999998</v>
      </c>
      <c r="J3" s="44"/>
      <c r="K3" s="44"/>
      <c r="L3" s="44"/>
      <c r="M3" s="16">
        <f>(SUM(G$2:$G$4)*H3/G3)</f>
        <v>0.70941912731792622</v>
      </c>
      <c r="N3" s="16">
        <f>M3/SUM($M$2:$M$4)*G3</f>
        <v>50.562678694715856</v>
      </c>
      <c r="O3" s="62"/>
      <c r="P3" s="59"/>
      <c r="Q3" s="56"/>
      <c r="R3" s="65"/>
      <c r="S3" s="17">
        <v>0.24510000000000001</v>
      </c>
      <c r="T3" s="18">
        <v>0.16520000000000001</v>
      </c>
      <c r="U3" s="19">
        <f>N9</f>
        <v>-6.4903859999999999E-3</v>
      </c>
      <c r="V3" s="50"/>
      <c r="W3" s="19">
        <f>LN(1+($V$2^(252/$R$2)-1)*$Q$2)*(1/$Q$2)-(S3*T3*U3)</f>
        <v>3.415664510624554E-3</v>
      </c>
      <c r="X3" s="47"/>
      <c r="Y3" s="44"/>
      <c r="Z3" s="44"/>
      <c r="AA3" s="44"/>
      <c r="AB3" s="44"/>
      <c r="AC3" s="44"/>
    </row>
    <row r="4" spans="1:29" x14ac:dyDescent="0.3">
      <c r="A4" s="45"/>
      <c r="B4" s="45"/>
      <c r="C4" s="63"/>
      <c r="D4" s="63"/>
      <c r="E4" s="54"/>
      <c r="F4" s="20" t="s">
        <v>6</v>
      </c>
      <c r="G4" s="22">
        <v>121.39</v>
      </c>
      <c r="H4" s="21">
        <f>1/3</f>
        <v>0.33333333333333331</v>
      </c>
      <c r="I4" s="22">
        <v>148.83000000000001</v>
      </c>
      <c r="J4" s="45"/>
      <c r="K4" s="45"/>
      <c r="L4" s="45"/>
      <c r="M4" s="23">
        <f>(SUM(G$2:$G$4)*H4/G4)</f>
        <v>1.3478320564571489</v>
      </c>
      <c r="N4" s="24">
        <f>M4/SUM($M$2:$M$4)*G4</f>
        <v>50.562678694715856</v>
      </c>
      <c r="O4" s="63"/>
      <c r="P4" s="60"/>
      <c r="Q4" s="57"/>
      <c r="R4" s="66"/>
      <c r="S4" s="25">
        <v>0.31859999999999999</v>
      </c>
      <c r="T4" s="26">
        <v>0.16520000000000001</v>
      </c>
      <c r="U4" s="27">
        <f>N10</f>
        <v>-4.3754737000000002E-2</v>
      </c>
      <c r="V4" s="51"/>
      <c r="W4" s="27">
        <f>LN(1+($V$2^(252/$R$2)-1)*$Q$2)*(1/$Q$2)-(S4*T4*U4)</f>
        <v>5.4557962276784739E-3</v>
      </c>
      <c r="X4" s="48"/>
      <c r="Y4" s="45"/>
      <c r="Z4" s="45"/>
      <c r="AA4" s="45"/>
      <c r="AB4" s="45"/>
      <c r="AC4" s="45"/>
    </row>
    <row r="5" spans="1:29" x14ac:dyDescent="0.3">
      <c r="V5" s="2"/>
      <c r="W5" s="2"/>
      <c r="X5" s="2"/>
    </row>
    <row r="7" spans="1:29" x14ac:dyDescent="0.3">
      <c r="K7" s="34" t="s">
        <v>4</v>
      </c>
      <c r="L7" s="35" t="s">
        <v>5</v>
      </c>
      <c r="M7" s="35" t="s">
        <v>6</v>
      </c>
      <c r="N7" s="36" t="s">
        <v>20</v>
      </c>
    </row>
    <row r="8" spans="1:29" x14ac:dyDescent="0.3">
      <c r="J8" s="40" t="s">
        <v>4</v>
      </c>
      <c r="K8" s="37">
        <v>1</v>
      </c>
      <c r="L8" s="29">
        <v>0.66319570400000005</v>
      </c>
      <c r="M8" s="29">
        <v>0.61637997899999997</v>
      </c>
      <c r="N8" s="30">
        <v>-4.5835550000000003E-2</v>
      </c>
    </row>
    <row r="9" spans="1:29" x14ac:dyDescent="0.3">
      <c r="J9" s="41" t="s">
        <v>5</v>
      </c>
      <c r="K9" s="38">
        <v>0.66319570400000005</v>
      </c>
      <c r="L9" s="28">
        <v>1</v>
      </c>
      <c r="M9" s="28">
        <v>0.712895948</v>
      </c>
      <c r="N9" s="31">
        <v>-6.4903859999999999E-3</v>
      </c>
    </row>
    <row r="10" spans="1:29" x14ac:dyDescent="0.3">
      <c r="J10" s="41" t="s">
        <v>6</v>
      </c>
      <c r="K10" s="38">
        <v>0.61637997899999997</v>
      </c>
      <c r="L10" s="28">
        <v>0.712895948</v>
      </c>
      <c r="M10" s="28">
        <v>1</v>
      </c>
      <c r="N10" s="31">
        <v>-4.3754737000000002E-2</v>
      </c>
    </row>
    <row r="11" spans="1:29" x14ac:dyDescent="0.3">
      <c r="J11" s="42" t="s">
        <v>20</v>
      </c>
      <c r="K11" s="39">
        <v>-4.5835550000000003E-2</v>
      </c>
      <c r="L11" s="32">
        <v>-6.4903859999999999E-3</v>
      </c>
      <c r="M11" s="32">
        <v>-4.3754737000000002E-2</v>
      </c>
      <c r="N11" s="33">
        <v>1</v>
      </c>
    </row>
  </sheetData>
  <mergeCells count="19">
    <mergeCell ref="D2:D4"/>
    <mergeCell ref="A2:A4"/>
    <mergeCell ref="C2:C4"/>
    <mergeCell ref="B2:B4"/>
    <mergeCell ref="J2:J4"/>
    <mergeCell ref="V2:V4"/>
    <mergeCell ref="E2:E4"/>
    <mergeCell ref="Z2:Z4"/>
    <mergeCell ref="Q2:Q4"/>
    <mergeCell ref="P2:P4"/>
    <mergeCell ref="O2:O4"/>
    <mergeCell ref="R2:R4"/>
    <mergeCell ref="K2:K4"/>
    <mergeCell ref="L2:L4"/>
    <mergeCell ref="AA2:AA4"/>
    <mergeCell ref="AB2:AB4"/>
    <mergeCell ref="AC2:AC4"/>
    <mergeCell ref="X2:X4"/>
    <mergeCell ref="Y2:Y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Sheet1</vt:lpstr>
      <vt:lpstr>correl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Horita</dc:creator>
  <cp:lastModifiedBy>Marcelo Horita</cp:lastModifiedBy>
  <dcterms:created xsi:type="dcterms:W3CDTF">2021-08-29T21:24:15Z</dcterms:created>
  <dcterms:modified xsi:type="dcterms:W3CDTF">2025-12-08T00:10:44Z</dcterms:modified>
</cp:coreProperties>
</file>